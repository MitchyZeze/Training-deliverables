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308" codeName="{12690826-C4DC-F77A-389B-7475C5824BB9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zeze_respoul/Downloads/教訓研修資料/"/>
    </mc:Choice>
  </mc:AlternateContent>
  <xr:revisionPtr revIDLastSave="0" documentId="13_ncr:11_{0D2DA589-63B2-BC4E-804D-6CA4188DAE89}" xr6:coauthVersionLast="45" xr6:coauthVersionMax="45" xr10:uidLastSave="{00000000-0000-0000-0000-000000000000}"/>
  <bookViews>
    <workbookView xWindow="260" yWindow="480" windowWidth="28800" windowHeight="16120" xr2:uid="{00000000-000D-0000-FFFF-FFFF00000000}"/>
  </bookViews>
  <sheets>
    <sheet name="タスク" sheetId="1" r:id="rId1"/>
    <sheet name="スケジュール" sheetId="2" r:id="rId2"/>
    <sheet name="土日祝日確認テーブル" sheetId="3" r:id="rId3"/>
  </sheets>
  <definedNames>
    <definedName name="_xlnm._FilterDatabase" localSheetId="2" hidden="1">土日祝日確認テーブル!$A$1:$C$241</definedName>
    <definedName name="_xlnm.Print_Titles" localSheetId="0">タスク!$2:$2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" l="1"/>
  <c r="I4" i="1"/>
  <c r="I5" i="1"/>
  <c r="I6" i="1"/>
  <c r="I7" i="1"/>
  <c r="I8" i="1"/>
  <c r="I9" i="1"/>
  <c r="I3" i="1"/>
  <c r="A6" i="2"/>
  <c r="K3" i="1" a="1"/>
  <c r="K3" i="1" s="1"/>
  <c r="J3" i="1" a="1"/>
  <c r="J3" i="1" s="1"/>
  <c r="A4" i="2"/>
  <c r="A2" i="2"/>
  <c r="F6" i="1"/>
  <c r="F7" i="1"/>
  <c r="F8" i="1"/>
  <c r="F9" i="1"/>
  <c r="H1" i="2" l="1"/>
  <c r="F5" i="1"/>
  <c r="F4" i="1"/>
  <c r="G1" i="2" l="1"/>
  <c r="F1" i="2"/>
  <c r="C1" i="2"/>
  <c r="E1" i="2"/>
  <c r="D1" i="2"/>
  <c r="F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<sst xmlns="http://schemas.openxmlformats.org/spreadsheetml/2006/main" count="272" uniqueCount="46">
  <si>
    <t>タスク リスト</t>
  </si>
  <si>
    <t>マイ タスク</t>
  </si>
  <si>
    <t>達成率</t>
  </si>
  <si>
    <t>メモ</t>
  </si>
  <si>
    <t>実績  /  予定</t>
    <rPh sb="0" eb="2">
      <t>ジッセキ</t>
    </rPh>
    <rPh sb="7" eb="9">
      <t>ヨテイ</t>
    </rPh>
    <phoneticPr fontId="20"/>
  </si>
  <si>
    <t>予定</t>
    <rPh sb="0" eb="2">
      <t>ヨテイ</t>
    </rPh>
    <phoneticPr fontId="20"/>
  </si>
  <si>
    <t>実績</t>
    <rPh sb="0" eb="2">
      <t>ジッセキ</t>
    </rPh>
    <phoneticPr fontId="20"/>
  </si>
  <si>
    <t>○○の開発</t>
    <rPh sb="3" eb="5">
      <t>カイハテゥ</t>
    </rPh>
    <phoneticPr fontId="20"/>
  </si>
  <si>
    <t>〇〇機能の実装</t>
    <rPh sb="2" eb="4">
      <t>キノウ</t>
    </rPh>
    <rPh sb="5" eb="7">
      <t>ジッソウ</t>
    </rPh>
    <phoneticPr fontId="20"/>
  </si>
  <si>
    <t>日数合計</t>
    <rPh sb="0" eb="4">
      <t>ニッスウ</t>
    </rPh>
    <phoneticPr fontId="20"/>
  </si>
  <si>
    <t>最早開始日</t>
    <rPh sb="0" eb="1">
      <t xml:space="preserve">サイソウ </t>
    </rPh>
    <rPh sb="1" eb="2">
      <t>ハヤイ</t>
    </rPh>
    <rPh sb="2" eb="4">
      <t>カイセィ</t>
    </rPh>
    <rPh sb="4" eb="5">
      <t>b</t>
    </rPh>
    <phoneticPr fontId="20"/>
  </si>
  <si>
    <t>最長期日</t>
    <rPh sb="0" eb="2">
      <t>サイチョウ</t>
    </rPh>
    <rPh sb="2" eb="4">
      <t>キジ</t>
    </rPh>
    <phoneticPr fontId="20"/>
  </si>
  <si>
    <t>予定期日</t>
    <rPh sb="0" eb="2">
      <t>ヨテイ</t>
    </rPh>
    <phoneticPr fontId="20"/>
  </si>
  <si>
    <t>開始日</t>
    <rPh sb="2" eb="3">
      <t>b</t>
    </rPh>
    <phoneticPr fontId="20"/>
  </si>
  <si>
    <t>最長日数</t>
    <rPh sb="0" eb="2">
      <t>サイチョウ</t>
    </rPh>
    <rPh sb="2" eb="4">
      <t>ニッスウ</t>
    </rPh>
    <phoneticPr fontId="20"/>
  </si>
  <si>
    <t>実装上の課題調査1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</si>
  <si>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実装上の課題調査2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</si>
  <si>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実装上の課題調査3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</si>
  <si>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実装上の課題調査4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</si>
  <si>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実装上の課題調査5</t>
    <rPh sb="0" eb="2">
      <t>ジッソウ</t>
    </rPh>
    <rPh sb="2" eb="3">
      <t>ジリョ</t>
    </rPh>
    <rPh sb="4" eb="6">
      <t>カダイ</t>
    </rPh>
    <rPh sb="6" eb="8">
      <t>チョウ</t>
    </rPh>
    <phoneticPr fontId="20"/>
  </si>
  <si>
    <t>・・・</t>
    <phoneticPr fontId="20"/>
  </si>
  <si>
    <t>スケジュール</t>
    <phoneticPr fontId="20"/>
  </si>
  <si>
    <t>完了</t>
    <rPh sb="0" eb="2">
      <t>カンリョウ</t>
    </rPh>
    <phoneticPr fontId="20"/>
  </si>
  <si>
    <t>aaaaaa
bbbbb
cccccc</t>
    <phoneticPr fontId="20"/>
  </si>
  <si>
    <t>シート作成ボタン</t>
    <phoneticPr fontId="20"/>
  </si>
  <si>
    <t>日付</t>
    <rPh sb="0" eb="2">
      <t>ヒヅケ</t>
    </rPh>
    <phoneticPr fontId="24"/>
  </si>
  <si>
    <t>曜日</t>
    <rPh sb="0" eb="2">
      <t>ヨウビ</t>
    </rPh>
    <phoneticPr fontId="24"/>
  </si>
  <si>
    <t>祝日</t>
    <rPh sb="0" eb="2">
      <t>シュクジツ</t>
    </rPh>
    <phoneticPr fontId="24"/>
  </si>
  <si>
    <t>元日</t>
  </si>
  <si>
    <t/>
  </si>
  <si>
    <t>成人の日</t>
  </si>
  <si>
    <t>建国記念の日</t>
  </si>
  <si>
    <t>天皇誕生日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</si>
  <si>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</si>
  <si>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</si>
  <si>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</si>
  <si>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</si>
  <si>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</si>
  <si>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</si>
  <si>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</si>
  <si>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</si>
  <si>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</si>
  <si>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</si>
  <si>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</si>
  <si>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</si>
  <si>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元旦</t>
    <rPh sb="0" eb="2">
      <t>ガンタン</t>
    </rPh>
    <phoneticPr fontId="2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</si>
</sst>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176" formatCode="_(* #,##0_);_(* \(#,##0\);_(* &quot;-&quot;_);_(@_)"/>
    <numFmt numFmtId="177" formatCode="_(* #,##0.00_);_(* \(#,##0.00\);_(* &quot;-&quot;??_);_(@_)"/>
    <numFmt numFmtId="178" formatCode="&quot;完了&quot;;&quot;&quot;;&quot;&quot;"/>
    <numFmt numFmtId="184" formatCode="aaa"/>
  </numFmts>
  <fonts count="26">
    <font>
      <sz val="11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11"/>
      <color rgb="FF006100"/>
      <name val="Meiryo UI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0"/>
      <name val="Meiryo UI"/>
      <family val="2"/>
      <charset val="128"/>
    </font>
    <font>
      <sz val="11"/>
      <color rgb="FF9C0006"/>
      <name val="Meiryo UI"/>
      <family val="2"/>
      <charset val="128"/>
    </font>
    <font>
      <b/>
      <sz val="11"/>
      <color theme="3"/>
      <name val="Meiryo UI"/>
      <family val="2"/>
      <charset val="128"/>
    </font>
    <font>
      <b/>
      <sz val="16"/>
      <color theme="2" tint="-0.749961851863155"/>
      <name val="Meiryo UI"/>
      <family val="2"/>
      <charset val="128"/>
    </font>
    <font>
      <b/>
      <sz val="12"/>
      <color theme="4" tint="-0.499984740745262"/>
      <name val="Meiryo UI"/>
      <family val="2"/>
      <charset val="128"/>
    </font>
    <font>
      <b/>
      <sz val="13"/>
      <color theme="3"/>
      <name val="Meiryo UI"/>
      <family val="2"/>
      <charset val="128"/>
    </font>
    <font>
      <b/>
      <sz val="11"/>
      <color theme="1"/>
      <name val="Meiryo UI"/>
      <family val="2"/>
      <charset val="128"/>
    </font>
    <font>
      <i/>
      <sz val="11"/>
      <color rgb="FF7F7F7F"/>
      <name val="Meiryo UI"/>
      <family val="2"/>
      <charset val="128"/>
    </font>
    <font>
      <sz val="11"/>
      <color rgb="FFFF0000"/>
      <name val="Meiryo UI"/>
      <family val="2"/>
      <charset val="128"/>
    </font>
    <font>
      <b/>
      <sz val="11"/>
      <color rgb="FFFA7D00"/>
      <name val="Meiryo UI"/>
      <family val="2"/>
      <charset val="128"/>
    </font>
    <font>
      <sz val="11"/>
      <color rgb="FF3F3F76"/>
      <name val="Meiryo UI"/>
      <family val="2"/>
      <charset val="128"/>
    </font>
    <font>
      <b/>
      <sz val="11"/>
      <color rgb="FF3F3F3F"/>
      <name val="Meiryo UI"/>
      <family val="2"/>
      <charset val="128"/>
    </font>
    <font>
      <sz val="11"/>
      <color rgb="FF9C5700"/>
      <name val="Meiryo UI"/>
      <family val="2"/>
      <charset val="128"/>
    </font>
    <font>
      <sz val="11"/>
      <color rgb="FFFA7D00"/>
      <name val="Meiryo UI"/>
      <family val="2"/>
      <charset val="128"/>
    </font>
    <font>
      <sz val="11"/>
      <color theme="1"/>
      <name val="Meiryo UI"/>
      <family val="3"/>
      <charset val="128"/>
    </font>
    <font>
      <b/>
      <sz val="12"/>
      <color theme="4" tint="-0.499984740745262"/>
      <name val="Meiryo UI"/>
      <family val="3"/>
      <charset val="128"/>
    </font>
    <font>
      <sz val="6"/>
      <name val="Meiryo UI"/>
      <family val="2"/>
      <charset val="128"/>
    </font>
    <font>
      <b/>
      <sz val="11"/>
      <color theme="3"/>
      <name val="Meiryo UI"/>
      <family val="3"/>
      <charset val="128"/>
    </font>
    <font>
      <sz val="20"/>
      <color theme="1"/>
      <name val="Meiryo UI"/>
      <family val="2"/>
      <charset val="128"/>
    </font>
    <font>
      <sz val="12"/>
      <color theme="0"/>
      <name val="メイリオ"/>
      <family val="3"/>
      <charset val="128"/>
    </font>
    <font>
      <sz val="6"/>
      <name val="ＭＳ Ｐゴシック"/>
      <family val="3"/>
      <charset val="128"/>
    </font>
    <font>
      <sz val="12"/>
      <color theme="3"/>
      <name val="メイリオ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horizontal="left" vertical="center"/>
    </xf>
    <xf numFmtId="0" fontId="7" fillId="2" borderId="0" applyNumberFormat="0" applyBorder="0" applyProtection="0">
      <alignment horizontal="left" wrapText="1"/>
    </xf>
    <xf numFmtId="0" fontId="8" fillId="0" borderId="1" applyNumberFormat="0" applyFill="0" applyProtection="0">
      <alignment horizontal="left" vertical="center"/>
    </xf>
    <xf numFmtId="178" fontId="3" fillId="0" borderId="0">
      <alignment horizontal="center" vertical="center"/>
    </xf>
    <xf numFmtId="9" fontId="1" fillId="0" borderId="0" applyFont="0" applyFill="0" applyBorder="0" applyProtection="0">
      <alignment horizontal="right" vertical="center"/>
    </xf>
    <xf numFmtId="14" fontId="1" fillId="0" borderId="0">
      <alignment horizontal="left" vertical="center" wrapText="1"/>
    </xf>
    <xf numFmtId="0" fontId="1" fillId="0" borderId="0">
      <alignment horizontal="left" vertical="center" wrapText="1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2" fontId="1" fillId="0" borderId="0" applyFont="0" applyFill="0" applyBorder="0" applyAlignment="0" applyProtection="0"/>
    <xf numFmtId="0" fontId="9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2" fillId="3" borderId="0" applyNumberFormat="0" applyBorder="0" applyAlignment="0" applyProtection="0"/>
    <xf numFmtId="0" fontId="5" fillId="4" borderId="0" applyNumberFormat="0" applyBorder="0" applyAlignment="0" applyProtection="0"/>
    <xf numFmtId="0" fontId="16" fillId="5" borderId="0" applyNumberFormat="0" applyBorder="0" applyAlignment="0" applyProtection="0"/>
    <xf numFmtId="0" fontId="14" fillId="6" borderId="4" applyNumberFormat="0" applyAlignment="0" applyProtection="0"/>
    <xf numFmtId="0" fontId="15" fillId="7" borderId="5" applyNumberFormat="0" applyAlignment="0" applyProtection="0"/>
    <xf numFmtId="0" fontId="13" fillId="7" borderId="4" applyNumberFormat="0" applyAlignment="0" applyProtection="0"/>
    <xf numFmtId="0" fontId="17" fillId="0" borderId="6" applyNumberFormat="0" applyFill="0" applyAlignment="0" applyProtection="0"/>
    <xf numFmtId="0" fontId="4" fillId="8" borderId="7" applyNumberFormat="0" applyAlignment="0" applyProtection="0"/>
    <xf numFmtId="0" fontId="12" fillId="0" borderId="0" applyNumberFormat="0" applyFill="0" applyBorder="0" applyAlignment="0" applyProtection="0"/>
    <xf numFmtId="0" fontId="1" fillId="9" borderId="8" applyNumberFormat="0" applyFont="0" applyAlignment="0" applyProtection="0"/>
    <xf numFmtId="0" fontId="11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3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</cellStyleXfs>
  <cellXfs count="20">
    <xf numFmtId="0" fontId="0" fillId="0" borderId="0" xfId="0">
      <alignment horizontal="left" vertical="center"/>
    </xf>
    <xf numFmtId="0" fontId="7" fillId="2" borderId="0" xfId="1" applyFont="1">
      <alignment horizontal="left" wrapText="1"/>
    </xf>
    <xf numFmtId="0" fontId="18" fillId="0" borderId="0" xfId="0" applyFont="1">
      <alignment horizontal="left" vertical="center"/>
    </xf>
    <xf numFmtId="0" fontId="19" fillId="0" borderId="1" xfId="2" applyNumberFormat="1" applyFont="1">
      <alignment horizontal="left" vertical="center"/>
    </xf>
    <xf numFmtId="0" fontId="18" fillId="0" borderId="0" xfId="6" applyFont="1">
      <alignment horizontal="left" vertical="center" wrapText="1"/>
    </xf>
    <xf numFmtId="9" fontId="18" fillId="0" borderId="0" xfId="4" applyFont="1" applyBorder="1">
      <alignment horizontal="right" vertical="center"/>
    </xf>
    <xf numFmtId="14" fontId="1" fillId="0" borderId="0" xfId="5">
      <alignment horizontal="left" vertical="center" wrapText="1"/>
    </xf>
    <xf numFmtId="178" fontId="1" fillId="0" borderId="0" xfId="3" applyFont="1">
      <alignment horizontal="center" vertical="center"/>
    </xf>
    <xf numFmtId="14" fontId="0" fillId="0" borderId="0" xfId="0" applyNumberFormat="1">
      <alignment horizontal="left" vertical="center"/>
    </xf>
    <xf numFmtId="0" fontId="0" fillId="34" borderId="0" xfId="0" applyFill="1">
      <alignment horizontal="left" vertical="center"/>
    </xf>
    <xf numFmtId="0" fontId="0" fillId="35" borderId="0" xfId="0" applyFill="1">
      <alignment horizontal="left" vertical="center"/>
    </xf>
    <xf numFmtId="14" fontId="18" fillId="0" borderId="0" xfId="0" applyNumberFormat="1" applyFont="1">
      <alignment horizontal="left" vertical="center"/>
    </xf>
    <xf numFmtId="0" fontId="21" fillId="0" borderId="10" xfId="6" applyNumberFormat="1" applyFont="1" applyBorder="1" applyAlignment="1">
      <alignment horizontal="left" vertical="center" wrapText="1"/>
    </xf>
    <xf numFmtId="0" fontId="22" fillId="0" borderId="0" xfId="0" applyFont="1">
      <alignment horizontal="left" vertical="center"/>
    </xf>
    <xf numFmtId="0" fontId="4" fillId="0" borderId="0" xfId="3" applyNumberFormat="1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3" fillId="36" borderId="0" xfId="0" applyFont="1" applyFill="1" applyAlignment="1">
      <alignment horizontal="center" vertical="center"/>
    </xf>
    <xf numFmtId="14" fontId="25" fillId="0" borderId="0" xfId="0" applyNumberFormat="1" applyFont="1" applyAlignment="1">
      <alignment vertical="center"/>
    </xf>
    <xf numFmtId="184" fontId="25" fillId="0" borderId="0" xfId="0" applyNumberFormat="1" applyFont="1" applyAlignment="1">
      <alignment vertical="center"/>
    </xf>
    <xf numFmtId="0" fontId="25" fillId="0" borderId="0" xfId="0" applyFont="1" applyAlignment="1">
      <alignment vertical="center"/>
    </xf>
  </cellXfs>
  <cellStyles count="50">
    <cellStyle name="20% - アクセント 1" xfId="27" builtinId="30" customBuiltin="1"/>
    <cellStyle name="20% - アクセント 2" xfId="31" builtinId="34" customBuiltin="1"/>
    <cellStyle name="20% - アクセント 3" xfId="35" builtinId="38" customBuiltin="1"/>
    <cellStyle name="20% - アクセント 4" xfId="39" builtinId="42" customBuiltin="1"/>
    <cellStyle name="20% - アクセント 5" xfId="43" builtinId="46" customBuiltin="1"/>
    <cellStyle name="20% - アクセント 6" xfId="47" builtinId="50" customBuiltin="1"/>
    <cellStyle name="40% - アクセント 1" xfId="28" builtinId="31" customBuiltin="1"/>
    <cellStyle name="40% - アクセント 2" xfId="32" builtinId="35" customBuiltin="1"/>
    <cellStyle name="40% - アクセント 3" xfId="36" builtinId="39" customBuiltin="1"/>
    <cellStyle name="40% - アクセント 4" xfId="40" builtinId="43" customBuiltin="1"/>
    <cellStyle name="40% - アクセント 5" xfId="44" builtinId="47" customBuiltin="1"/>
    <cellStyle name="40% - アクセント 6" xfId="48" builtinId="51" customBuiltin="1"/>
    <cellStyle name="60% - アクセント 1" xfId="29" builtinId="32" customBuiltin="1"/>
    <cellStyle name="60% - アクセント 2" xfId="33" builtinId="36" customBuiltin="1"/>
    <cellStyle name="60% - アクセント 3" xfId="37" builtinId="40" customBuiltin="1"/>
    <cellStyle name="60% - アクセント 4" xfId="41" builtinId="44" customBuiltin="1"/>
    <cellStyle name="60% - アクセント 5" xfId="45" builtinId="48" customBuiltin="1"/>
    <cellStyle name="60% - アクセント 6" xfId="49" builtinId="52" customBuiltin="1"/>
    <cellStyle name="アクセント 1" xfId="26" builtinId="29" customBuiltin="1"/>
    <cellStyle name="アクセント 2" xfId="30" builtinId="33" customBuiltin="1"/>
    <cellStyle name="アクセント 3" xfId="34" builtinId="37" customBuiltin="1"/>
    <cellStyle name="アクセント 4" xfId="38" builtinId="41" customBuiltin="1"/>
    <cellStyle name="アクセント 5" xfId="42" builtinId="45" customBuiltin="1"/>
    <cellStyle name="アクセント 6" xfId="46" builtinId="49" customBuiltin="1"/>
    <cellStyle name="タイトル" xfId="1" builtinId="15" customBuiltin="1"/>
    <cellStyle name="チェック セル" xfId="21" builtinId="23" customBuiltin="1"/>
    <cellStyle name="どちらでもない" xfId="16" builtinId="28" customBuiltin="1"/>
    <cellStyle name="パーセント" xfId="4" builtinId="5" customBuiltin="1"/>
    <cellStyle name="メモ" xfId="23" builtinId="10" customBuiltin="1"/>
    <cellStyle name="リンク セル" xfId="20" builtinId="24" customBuiltin="1"/>
    <cellStyle name="悪い" xfId="15" builtinId="27" customBuiltin="1"/>
    <cellStyle name="完了" xfId="3" xr:uid="{00000000-0005-0000-0000-000001000000}"/>
    <cellStyle name="計算" xfId="19" builtinId="22" customBuiltin="1"/>
    <cellStyle name="警告文" xfId="22" builtinId="11" customBuiltin="1"/>
    <cellStyle name="桁区切り" xfId="8" builtinId="6" customBuiltin="1"/>
    <cellStyle name="桁区切り [0.00]" xfId="7" builtinId="3" customBuiltin="1"/>
    <cellStyle name="見出し 1" xfId="2" builtinId="16" customBuiltin="1"/>
    <cellStyle name="見出し 2" xfId="11" builtinId="17" customBuiltin="1"/>
    <cellStyle name="見出し 3" xfId="12" builtinId="18" customBuiltin="1"/>
    <cellStyle name="見出し 4" xfId="13" builtinId="19" customBuiltin="1"/>
    <cellStyle name="集計" xfId="25" builtinId="25" customBuiltin="1"/>
    <cellStyle name="出力" xfId="18" builtinId="21" customBuiltin="1"/>
    <cellStyle name="説明文" xfId="24" builtinId="53" customBuiltin="1"/>
    <cellStyle name="通貨" xfId="10" builtinId="7" customBuiltin="1"/>
    <cellStyle name="通貨 [0.00]" xfId="9" builtinId="4" customBuiltin="1"/>
    <cellStyle name="日付" xfId="5" xr:uid="{00000000-0005-0000-0000-000000000000}"/>
    <cellStyle name="入力" xfId="17" builtinId="20" customBuiltin="1"/>
    <cellStyle name="標準" xfId="0" builtinId="0" customBuiltin="1"/>
    <cellStyle name="表のテキスト" xfId="6" xr:uid="{00000000-0005-0000-0000-000005000000}"/>
    <cellStyle name="良い" xfId="14" builtinId="26" customBuiltin="1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Meiryo UI"/>
        <family val="2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</dxf>
    <dxf>
      <font>
        <strike val="0"/>
        <outline val="0"/>
        <shadow val="0"/>
        <u val="none"/>
        <vertAlign val="baseline"/>
        <name val="Meiryo UI"/>
        <family val="3"/>
        <charset val="128"/>
        <scheme val="none"/>
      </font>
      <numFmt numFmtId="0" formatCode="General"/>
    </dxf>
    <dxf>
      <font>
        <b/>
        <i val="0"/>
        <color theme="3"/>
      </font>
    </dxf>
    <dxf>
      <font>
        <b/>
        <i val="0"/>
        <color theme="5"/>
      </font>
    </dxf>
    <dxf>
      <font>
        <b/>
        <i val="0"/>
        <color theme="4" tint="-0.24994659260841701"/>
      </font>
      <border>
        <left/>
        <right/>
        <top/>
        <bottom style="thin">
          <color theme="0" tint="-0.14996795556505021"/>
        </bottom>
        <vertical/>
        <horizontal/>
      </border>
    </dxf>
    <dxf>
      <font>
        <b val="0"/>
        <i val="0"/>
        <color theme="3"/>
      </font>
      <border diagonalUp="0" diagonalDown="1">
        <left/>
        <right/>
        <top style="thin">
          <color theme="0" tint="-0.14996795556505021"/>
        </top>
        <bottom style="thin">
          <color theme="0" tint="-0.14996795556505021"/>
        </bottom>
        <diagonal style="thin">
          <color theme="2"/>
        </diagonal>
        <vertical/>
        <horizontal style="thin">
          <color theme="0" tint="-0.14996795556505021"/>
        </horizontal>
      </border>
    </dxf>
  </dxfs>
  <tableStyles count="1" defaultPivotStyle="PivotStyleLight16">
    <tableStyle name="タスク リスト" pivot="0" count="4" xr9:uid="{00000000-0011-0000-FFFF-FFFF00000000}">
      <tableStyleElement type="wholeTable" dxfId="16"/>
      <tableStyleElement type="headerRow" dxfId="15"/>
      <tableStyleElement type="totalRow" dxfId="14"/>
      <tableStyleElement type="firstColumn" dxfId="1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431800</xdr:colOff>
      <xdr:row>12</xdr:row>
      <xdr:rowOff>0</xdr:rowOff>
    </xdr:from>
    <xdr:to>
      <xdr:col>10</xdr:col>
      <xdr:colOff>215900</xdr:colOff>
      <xdr:row>14</xdr:row>
      <xdr:rowOff>63500</xdr:rowOff>
    </xdr:to>
    <xdr:sp macro="[0]!CreateSheetButtonClick" textlink="">
      <xdr:nvSpPr>
        <xdr:cNvPr id="2" name="角丸四角形 1">
          <a:extLst>
            <a:ext uri="{FF2B5EF4-FFF2-40B4-BE49-F238E27FC236}">
              <a16:creationId xmlns:a16="http://schemas.microsoft.com/office/drawing/2014/main" id="{2D29B4A8-76D0-B64F-A18E-82549AD581B6}"/>
            </a:ext>
          </a:extLst>
        </xdr:cNvPr>
        <xdr:cNvSpPr/>
      </xdr:nvSpPr>
      <xdr:spPr>
        <a:xfrm>
          <a:off x="11353800" y="3073400"/>
          <a:ext cx="1536700" cy="469900"/>
        </a:xfrm>
        <a:prstGeom prst="roundRect">
          <a:avLst/>
        </a:prstGeom>
        <a:solidFill>
          <a:schemeClr val="accent5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2000" baseline="0">
              <a:solidFill>
                <a:schemeClr val="tx2"/>
              </a:solidFill>
            </a:rPr>
            <a:t>シート作成</a:t>
          </a:r>
          <a:endParaRPr kumimoji="1" lang="en-US" altLang="ja-JP" sz="2000" baseline="0">
            <a:solidFill>
              <a:schemeClr val="tx2"/>
            </a:solidFill>
          </a:endParaRPr>
        </a:p>
        <a:p>
          <a:pPr algn="l"/>
          <a:endParaRPr kumimoji="1" lang="ja-JP" altLang="en-US" sz="1100">
            <a:solidFill>
              <a:schemeClr val="tx2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タスク" displayName="タスク" ref="B2:G9" headerRowDxfId="12" dataDxfId="11" totalsRowDxfId="10">
  <autoFilter ref="B2:G9" xr:uid="{00000000-0009-0000-0100-000001000000}"/>
  <sortState xmlns:xlrd2="http://schemas.microsoft.com/office/spreadsheetml/2017/richdata2" ref="B3:G9">
    <sortCondition ref="B2:B9"/>
  </sortState>
  <tableColumns count="6">
    <tableColumn id="1" xr3:uid="{00000000-0010-0000-0000-000001000000}" name="マイ タスク" totalsRowLabel="集計" dataDxfId="9" totalsRowDxfId="8" dataCellStyle="表のテキスト"/>
    <tableColumn id="4" xr3:uid="{00000000-0010-0000-0000-000004000000}" name="開始日" totalsRowDxfId="7" dataCellStyle="日付"/>
    <tableColumn id="5" xr3:uid="{00000000-0010-0000-0000-000005000000}" name="予定期日" totalsRowDxfId="6" dataCellStyle="日付"/>
    <tableColumn id="6" xr3:uid="{00000000-0010-0000-0000-000006000000}" name="達成率" dataDxfId="5" totalsRowDxfId="4" dataCellStyle="パーセント"/>
    <tableColumn id="7" xr3:uid="{00000000-0010-0000-0000-000007000000}" name="完了" dataDxfId="3" totalsRowDxfId="2" dataCellStyle="完了">
      <calculatedColumnFormula>--(タスク[[#This Row],[達成率]]&gt;=1)</calculatedColumnFormula>
    </tableColumn>
    <tableColumn id="8" xr3:uid="{00000000-0010-0000-0000-000008000000}" name="メモ" totalsRowFunction="count" dataDxfId="1" totalsRowDxfId="0" dataCellStyle="表のテキスト"/>
  </tableColumns>
  <tableStyleInfo name="タスク リスト" showFirstColumn="1" showLastColumn="0" showRowStripes="1" showColumnStripes="0"/>
  <extLst>
    <ext xmlns:x14="http://schemas.microsoft.com/office/spreadsheetml/2009/9/main" uri="{504A1905-F514-4f6f-8877-14C23A59335A}">
      <x14:table altTextSummary="タスクのリストを管理するためのテーブルです。タスク名、開始日と終了日、達成率、およびメモを入力します。100% に達するタスクの場合、[完了] 列 F にアイコンが表示されます。"/>
    </ext>
  </extLst>
</table>
</file>

<file path=xl/theme/theme1.xml><?xml version="1.0" encoding="utf-8"?>
<a:theme xmlns:a="http://schemas.openxmlformats.org/drawingml/2006/main" name="Office Theme">
  <a:themeElements>
    <a:clrScheme name="Task List">
      <a:dk1>
        <a:sysClr val="windowText" lastClr="000000"/>
      </a:dk1>
      <a:lt1>
        <a:sysClr val="window" lastClr="FFFFFF"/>
      </a:lt1>
      <a:dk2>
        <a:srgbClr val="07181B"/>
      </a:dk2>
      <a:lt2>
        <a:srgbClr val="F9F8F3"/>
      </a:lt2>
      <a:accent1>
        <a:srgbClr val="39BCD2"/>
      </a:accent1>
      <a:accent2>
        <a:srgbClr val="F1C94D"/>
      </a:accent2>
      <a:accent3>
        <a:srgbClr val="FD9330"/>
      </a:accent3>
      <a:accent4>
        <a:srgbClr val="F1424D"/>
      </a:accent4>
      <a:accent5>
        <a:srgbClr val="22B183"/>
      </a:accent5>
      <a:accent6>
        <a:srgbClr val="8963A7"/>
      </a:accent6>
      <a:hlink>
        <a:srgbClr val="39BCD2"/>
      </a:hlink>
      <a:folHlink>
        <a:srgbClr val="8963A7"/>
      </a:folHlink>
    </a:clrScheme>
    <a:fontScheme name="Task list 2">
      <a:majorFont>
        <a:latin typeface="Courier New"/>
        <a:ea typeface=""/>
        <a:cs typeface=""/>
      </a:majorFont>
      <a:minorFont>
        <a:latin typeface="Calibri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  <pageSetUpPr autoPageBreaks="0" fitToPage="1"/>
  </sheetPr>
  <dimension ref="B1:L11"/>
  <sheetViews>
    <sheetView showGridLines="0" tabSelected="1" topLeftCell="B1" zoomScaleNormal="100" workbookViewId="0">
      <selection activeCell="E15" sqref="E15"/>
    </sheetView>
  </sheetViews>
  <sheetFormatPr baseColWidth="10" defaultColWidth="8.5703125" defaultRowHeight="16"/>
  <cols>
    <col min="1" max="1" width="2.140625" style="2" customWidth="1"/>
    <col min="2" max="2" width="23.28515625" style="2" customWidth="1"/>
    <col min="3" max="3" width="19.85546875" style="2" customWidth="1"/>
    <col min="4" max="4" width="16.5703125" style="2" customWidth="1"/>
    <col min="5" max="5" width="18.85546875" style="2" customWidth="1"/>
    <col min="6" max="6" width="10.140625" style="2" customWidth="1"/>
    <col min="7" max="7" width="29.5703125" style="2" customWidth="1"/>
    <col min="8" max="8" width="2.42578125" style="2" customWidth="1"/>
    <col min="9" max="9" width="8.5703125" style="2"/>
    <col min="10" max="11" width="11.140625" style="2" bestFit="1" customWidth="1"/>
    <col min="12" max="16384" width="8.5703125" style="2"/>
  </cols>
  <sheetData>
    <row r="1" spans="2:12" ht="23">
      <c r="B1" s="1" t="s">
        <v>0</v>
      </c>
      <c r="C1" s="1"/>
      <c r="D1" s="1"/>
      <c r="E1" s="1"/>
      <c r="F1" s="1"/>
      <c r="G1" s="1"/>
      <c r="I1" s="15" t="s">
        <v>9</v>
      </c>
      <c r="J1" s="15" t="s">
        <v>10</v>
      </c>
      <c r="K1" s="15" t="s">
        <v>11</v>
      </c>
      <c r="L1" s="15" t="s">
        <v>14</v>
      </c>
    </row>
    <row r="2" spans="2:12" ht="18">
      <c r="B2" s="3" t="s">
        <v>1</v>
      </c>
      <c r="C2" s="3" t="s">
        <v>13</v>
      </c>
      <c r="D2" s="3" t="s">
        <v>12</v>
      </c>
      <c r="E2" s="3" t="s">
        <v>2</v>
      </c>
      <c r="F2" s="14" t="s">
        <v>22</v>
      </c>
      <c r="G2" s="3" t="s">
        <v>3</v>
      </c>
      <c r="I2" s="15"/>
      <c r="J2" s="15"/>
      <c r="K2" s="15"/>
      <c r="L2" s="15"/>
    </row>
    <row r="3" spans="2:12" ht="51">
      <c r="B3" s="4" t="s">
        <v>7</v>
      </c>
      <c r="C3" s="6">
        <v>44167</v>
      </c>
      <c r="D3" s="6">
        <v>44252</v>
      </c>
      <c r="E3" s="5">
        <v>0</v>
      </c>
      <c r="F3" s="7">
        <f>--(タスク[[#This Row],[達成率]]&gt;=1)</f>
        <v>0</v>
      </c>
      <c r="G3" s="4" t="s">
        <v>23</v>
      </c>
      <c r="I3" s="2">
        <f xml:space="preserve"> _xlfn.DAYS(D3,C3 - 1)</f>
        <v>86</v>
      </c>
      <c r="J3" s="11" cm="1">
        <f t="array" ref="J3">MIN(DATE(YEAR(タスク[開始日]),MONTH(タスク[開始日]),(DAY(タスク[開始日]))))</f>
        <v>44167</v>
      </c>
      <c r="K3" s="11" cm="1">
        <f t="array" ref="K3">MAX(DATE(YEAR(タスク[予定期日]),MONTH(タスク[予定期日]),(DAY(タスク[予定期日]))))</f>
        <v>44252</v>
      </c>
      <c r="L3" s="2">
        <f>_xlfn.DAYS(K3,J3-1)</f>
        <v>86</v>
      </c>
    </row>
    <row r="4" spans="2:12" ht="17">
      <c r="B4" s="4" t="s">
        <v>8</v>
      </c>
      <c r="C4" s="6">
        <v>44167</v>
      </c>
      <c r="D4" s="6">
        <v>44196</v>
      </c>
      <c r="E4" s="5">
        <v>0.25</v>
      </c>
      <c r="F4" s="7">
        <f>--(タスク[[#This Row],[達成率]]&gt;=1)</f>
        <v>0</v>
      </c>
      <c r="G4" s="4"/>
      <c r="I4" s="2">
        <f t="shared" ref="I4:I9" si="0" xml:space="preserve"> _xlfn.DAYS(D4,C4 - 1)</f>
        <v>30</v>
      </c>
    </row>
    <row r="5" spans="2:12" ht="17">
      <c r="B5" s="4" t="s">
        <v>15</v>
      </c>
      <c r="C5" s="6">
        <v>44175</v>
      </c>
      <c r="D5" s="6">
        <v>44177</v>
      </c>
      <c r="E5" s="5">
        <v>1</v>
      </c>
      <c r="F5" s="7">
        <f>--(タスク[[#This Row],[達成率]]&gt;=1)</f>
        <v>1</v>
      </c>
      <c r="G5" s="4"/>
      <c r="I5" s="2">
        <f t="shared" si="0"/>
        <v>3</v>
      </c>
    </row>
    <row r="6" spans="2:12" ht="17">
      <c r="B6" s="4" t="s">
        <v>16</v>
      </c>
      <c r="C6" s="6">
        <v>44177</v>
      </c>
      <c r="D6" s="6">
        <v>44180</v>
      </c>
      <c r="E6" s="5">
        <v>0.75</v>
      </c>
      <c r="F6" s="7">
        <f>--(タスク[[#This Row],[達成率]]&gt;=1)</f>
        <v>0</v>
      </c>
      <c r="G6" s="4"/>
      <c r="I6" s="2">
        <f t="shared" si="0"/>
        <v>4</v>
      </c>
    </row>
    <row r="7" spans="2:12" ht="17">
      <c r="B7" s="4" t="s">
        <v>17</v>
      </c>
      <c r="C7" s="6">
        <v>44180</v>
      </c>
      <c r="D7" s="6">
        <v>44182</v>
      </c>
      <c r="E7" s="5">
        <v>0</v>
      </c>
      <c r="F7" s="7">
        <f>--(タスク[[#This Row],[達成率]]&gt;=1)</f>
        <v>0</v>
      </c>
      <c r="G7" s="4"/>
      <c r="I7" s="2">
        <f t="shared" si="0"/>
        <v>3</v>
      </c>
    </row>
    <row r="8" spans="2:12" ht="17">
      <c r="B8" s="4" t="s">
        <v>18</v>
      </c>
      <c r="C8" s="6">
        <v>44182</v>
      </c>
      <c r="D8" s="6">
        <v>44184</v>
      </c>
      <c r="E8" s="5">
        <v>0</v>
      </c>
      <c r="F8" s="7">
        <f>--(タスク[[#This Row],[達成率]]&gt;=1)</f>
        <v>0</v>
      </c>
      <c r="G8" s="4"/>
      <c r="I8" s="2">
        <f t="shared" si="0"/>
        <v>3</v>
      </c>
    </row>
    <row r="9" spans="2:12" ht="17">
      <c r="B9" s="4" t="s">
        <v>19</v>
      </c>
      <c r="C9" s="6">
        <v>44184</v>
      </c>
      <c r="D9" s="6">
        <v>44189</v>
      </c>
      <c r="E9" s="5">
        <v>0</v>
      </c>
      <c r="F9" s="7">
        <f>--(タスク[[#This Row],[達成率]]&gt;=1)</f>
        <v>0</v>
      </c>
      <c r="G9" s="4"/>
      <c r="I9" s="2">
        <f t="shared" si="0"/>
        <v>6</v>
      </c>
    </row>
    <row r="11" spans="2:12">
      <c r="J11" s="2" t="s">
        <v>24</v>
      </c>
    </row>
  </sheetData>
  <sheetProtection formatCells="0" formatColumns="0" formatRows="0" insertColumns="0" insertRows="0" deleteColumns="0" deleteRows="0" selectLockedCells="1" sort="0" autoFilter="0"/>
  <mergeCells count="4">
    <mergeCell ref="I1:I2"/>
    <mergeCell ref="J1:J2"/>
    <mergeCell ref="K1:K2"/>
    <mergeCell ref="L1:L2"/>
  </mergeCells>
  <phoneticPr fontId="20"/>
  <conditionalFormatting sqref="E3:E9">
    <cfRule type="dataBar" priority="6">
      <dataBar>
        <cfvo type="num" val="0"/>
        <cfvo type="num" val="1"/>
        <color theme="5"/>
      </dataBar>
      <extLst>
        <ext xmlns:x14="http://schemas.microsoft.com/office/spreadsheetml/2009/9/main" uri="{B025F937-C7B1-47D3-B67F-A62EFF666E3E}">
          <x14:id>{E45B70CA-B6A0-4E88-BB95-1D31570318B9}</x14:id>
        </ext>
      </extLst>
    </cfRule>
  </conditionalFormatting>
  <dataValidations xWindow="542" yWindow="341" count="1">
    <dataValidation type="list" errorStyle="warning" allowBlank="1" showInputMessage="1" showErrorMessage="1" error="ドロップダウン リストから値を選択します。または、次のいずれかを入力します: 0%、25%、50%、75%、または 100%" sqref="E3:E9" xr:uid="{00000000-0002-0000-0000-000000000000}">
      <formula1>"0%,25%,50%,75%,100%"</formula1>
    </dataValidation>
  </dataValidations>
  <printOptions horizontalCentered="1"/>
  <pageMargins left="0.4" right="0.4" top="0.4" bottom="0.4" header="0.25" footer="0.25"/>
  <pageSetup paperSize="9" fitToHeight="0" orientation="landscape" r:id="rId1"/>
  <headerFooter differentFirst="1">
    <oddFooter>Page &amp;P of &amp;N</oddFooter>
  </headerFooter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45B70CA-B6A0-4E88-BB95-1D31570318B9}">
            <x14:dataBar minLength="0" maxLength="100" border="1" gradient="0" negativeBarBorderColorSameAsPositive="0">
              <x14:cfvo type="num">
                <xm:f>0</xm:f>
              </x14:cfvo>
              <x14:cfvo type="num">
                <xm:f>1</xm:f>
              </x14:cfvo>
              <x14:borderColor theme="5"/>
              <x14:negativeFillColor rgb="FFFF0000"/>
              <x14:negativeBorderColor rgb="FFFF0000"/>
              <x14:axisColor rgb="FF000000"/>
            </x14:dataBar>
          </x14:cfRule>
          <xm:sqref>E3:E9</xm:sqref>
        </x14:conditionalFormatting>
        <x14:conditionalFormatting xmlns:xm="http://schemas.microsoft.com/office/excel/2006/main">
          <x14:cfRule type="iconSet" priority="42" id="{04B8B5C2-C7B5-4FE5-B018-764654046486}">
            <x14:iconSet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NoIcons" iconId="0"/>
              <x14:cfIcon iconSet="4TrafficLights" iconId="0"/>
            </x14:iconSet>
          </x14:cfRule>
          <xm:sqref>F3:F9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44A3-D217-2441-B9CE-F1AD6D4FFF9B}">
  <sheetPr codeName="Sheet2"/>
  <dimension ref="A1:M15"/>
  <sheetViews>
    <sheetView workbookViewId="0">
      <selection activeCell="J15" sqref="J15"/>
    </sheetView>
  </sheetViews>
  <sheetFormatPr baseColWidth="10" defaultRowHeight="16"/>
  <cols>
    <col min="1" max="1" width="15.5703125" bestFit="1" customWidth="1"/>
    <col min="2" max="2" width="10.85546875" bestFit="1" customWidth="1"/>
    <col min="3" max="8" width="10.140625" bestFit="1" customWidth="1"/>
    <col min="9" max="9" width="4.140625" bestFit="1" customWidth="1"/>
    <col min="38" max="38" width="10.7109375" customWidth="1"/>
  </cols>
  <sheetData>
    <row r="1" spans="1:13">
      <c r="A1" t="s">
        <v>21</v>
      </c>
      <c r="B1" t="s">
        <v>4</v>
      </c>
      <c r="C1" s="8">
        <f>タスク!$J$3 + (タスク!$L$3 - (タスク!$L$3 - 0))</f>
        <v>44167</v>
      </c>
      <c r="D1" s="8">
        <f>タスク!$J$3 + (タスク!$L$3 - (タスク!$L$3 - 1))</f>
        <v>44168</v>
      </c>
      <c r="E1" s="8">
        <f>タスク!$J$3 + (タスク!$L$3 - (タスク!$L$3 - 2))</f>
        <v>44169</v>
      </c>
      <c r="F1" s="8">
        <f>タスク!$J$3 + (タスク!$L$3 - (タスク!$L$3 - 3))</f>
        <v>44170</v>
      </c>
      <c r="G1" s="8">
        <f>タスク!$J$3 + (タスク!$L$3 - (タスク!$L$3 - 4))</f>
        <v>44171</v>
      </c>
      <c r="H1" s="8">
        <f>タスク!$J$3 + (タスク!$L$3 - (タスク!$L$3 - 4))</f>
        <v>44171</v>
      </c>
      <c r="I1" s="8" t="s">
        <v>20</v>
      </c>
      <c r="J1" s="8"/>
      <c r="K1" s="8"/>
      <c r="L1" s="8"/>
      <c r="M1" s="8"/>
    </row>
    <row r="2" spans="1:13">
      <c r="A2" t="str">
        <f xml:space="preserve"> タスク!B3</f>
        <v>○○の開発</v>
      </c>
      <c r="B2" s="9" t="s">
        <v>6</v>
      </c>
      <c r="C2" s="9"/>
    </row>
    <row r="3" spans="1:13">
      <c r="B3" s="10" t="s">
        <v>5</v>
      </c>
      <c r="C3" s="10"/>
      <c r="D3" s="10"/>
    </row>
    <row r="4" spans="1:13">
      <c r="A4" t="str">
        <f>タスク!B4</f>
        <v>〇〇機能の実装</v>
      </c>
    </row>
    <row r="6" spans="1:13">
      <c r="A6" t="str">
        <f>タスク!B5</f>
        <v>実装上の課題調査1</v>
      </c>
    </row>
    <row r="8" spans="1:13" ht="17">
      <c r="A8" s="12" t="s">
        <v>16</v>
      </c>
    </row>
    <row r="10" spans="1:13" ht="17">
      <c r="A10" s="12" t="s">
        <v>17</v>
      </c>
    </row>
    <row r="12" spans="1:13" ht="17">
      <c r="A12" s="12" t="s">
        <v>18</v>
      </c>
    </row>
    <row r="14" spans="1:13" ht="17">
      <c r="A14" s="12" t="s">
        <v>19</v>
      </c>
    </row>
    <row r="15" spans="1:13" ht="27">
      <c r="B15" s="13"/>
    </row>
  </sheetData>
  <phoneticPr fontId="2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4D636-49CB-344D-A0EA-15FF3BDDC710}">
  <sheetPr codeName="Sheet3"/>
  <dimension ref="A1:C241"/>
  <sheetViews>
    <sheetView topLeftCell="A217" workbookViewId="0">
      <selection activeCell="D11" sqref="D11"/>
    </sheetView>
  </sheetViews>
  <sheetFormatPr baseColWidth="10" defaultRowHeight="16"/>
  <sheetData>
    <row r="1" spans="1:3" ht="20">
      <c r="A1" s="16" t="s">
        <v>25</v>
      </c>
      <c r="B1" s="16" t="s">
        <v>26</v>
      </c>
      <c r="C1" s="16" t="s">
        <v>27</v>
      </c>
    </row>
    <row r="2" spans="1:3" ht="20">
      <c r="A2" s="17">
        <v>44197</v>
      </c>
      <c r="B2" s="18">
        <v>44197</v>
      </c>
      <c r="C2" s="19" t="s">
        <v>28</v>
      </c>
    </row>
    <row r="3" spans="1:3" ht="20">
      <c r="A3" s="17">
        <v>44198</v>
      </c>
      <c r="B3" s="18">
        <v>44198</v>
      </c>
      <c r="C3" s="19" t="s">
        <v>29</v>
      </c>
    </row>
    <row r="4" spans="1:3" ht="20">
      <c r="A4" s="17">
        <v>44199</v>
      </c>
      <c r="B4" s="18">
        <v>44199</v>
      </c>
      <c r="C4" s="19" t="s">
        <v>29</v>
      </c>
    </row>
    <row r="5" spans="1:3" ht="20">
      <c r="A5" s="17">
        <v>44205</v>
      </c>
      <c r="B5" s="18">
        <v>44205</v>
      </c>
      <c r="C5" s="19" t="s">
        <v>29</v>
      </c>
    </row>
    <row r="6" spans="1:3" ht="20">
      <c r="A6" s="17">
        <v>44206</v>
      </c>
      <c r="B6" s="18">
        <v>44206</v>
      </c>
      <c r="C6" s="19" t="s">
        <v>29</v>
      </c>
    </row>
    <row r="7" spans="1:3" ht="20">
      <c r="A7" s="17">
        <v>44207</v>
      </c>
      <c r="B7" s="18">
        <v>44207</v>
      </c>
      <c r="C7" s="19" t="s">
        <v>30</v>
      </c>
    </row>
    <row r="8" spans="1:3" ht="20">
      <c r="A8" s="17">
        <v>44212</v>
      </c>
      <c r="B8" s="18">
        <v>44212</v>
      </c>
      <c r="C8" s="19" t="s">
        <v>29</v>
      </c>
    </row>
    <row r="9" spans="1:3" ht="20">
      <c r="A9" s="17">
        <v>44213</v>
      </c>
      <c r="B9" s="18">
        <v>44213</v>
      </c>
      <c r="C9" s="19" t="s">
        <v>29</v>
      </c>
    </row>
    <row r="10" spans="1:3" ht="20">
      <c r="A10" s="17">
        <v>44219</v>
      </c>
      <c r="B10" s="18">
        <v>44219</v>
      </c>
      <c r="C10" s="19" t="s">
        <v>29</v>
      </c>
    </row>
    <row r="11" spans="1:3" ht="20">
      <c r="A11" s="17">
        <v>44220</v>
      </c>
      <c r="B11" s="18">
        <v>44220</v>
      </c>
      <c r="C11" s="19" t="s">
        <v>29</v>
      </c>
    </row>
    <row r="12" spans="1:3" ht="20">
      <c r="A12" s="17">
        <v>44226</v>
      </c>
      <c r="B12" s="18">
        <v>44226</v>
      </c>
      <c r="C12" s="19" t="s">
        <v>29</v>
      </c>
    </row>
    <row r="13" spans="1:3" ht="20">
      <c r="A13" s="17">
        <v>44227</v>
      </c>
      <c r="B13" s="18">
        <v>44227</v>
      </c>
      <c r="C13" s="19" t="s">
        <v>29</v>
      </c>
    </row>
    <row r="14" spans="1:3" ht="20">
      <c r="A14" s="17">
        <v>44233</v>
      </c>
      <c r="B14" s="18">
        <v>44233</v>
      </c>
      <c r="C14" s="19" t="s">
        <v>29</v>
      </c>
    </row>
    <row r="15" spans="1:3" ht="20">
      <c r="A15" s="17">
        <v>44234</v>
      </c>
      <c r="B15" s="18">
        <v>44234</v>
      </c>
      <c r="C15" s="19" t="s">
        <v>29</v>
      </c>
    </row>
    <row r="16" spans="1:3" ht="20">
      <c r="A16" s="17">
        <v>44238</v>
      </c>
      <c r="B16" s="18">
        <v>44238</v>
      </c>
      <c r="C16" s="19" t="s">
        <v>31</v>
      </c>
    </row>
    <row r="17" spans="1:3" ht="20">
      <c r="A17" s="17">
        <v>44240</v>
      </c>
      <c r="B17" s="18">
        <v>44240</v>
      </c>
      <c r="C17" s="19" t="s">
        <v>29</v>
      </c>
    </row>
    <row r="18" spans="1:3" ht="20">
      <c r="A18" s="17">
        <v>44241</v>
      </c>
      <c r="B18" s="18">
        <v>44241</v>
      </c>
      <c r="C18" s="19" t="s">
        <v>29</v>
      </c>
    </row>
    <row r="19" spans="1:3" ht="20">
      <c r="A19" s="17">
        <v>44247</v>
      </c>
      <c r="B19" s="18">
        <v>44247</v>
      </c>
      <c r="C19" s="19" t="s">
        <v>29</v>
      </c>
    </row>
    <row r="20" spans="1:3" ht="20">
      <c r="A20" s="17">
        <v>44248</v>
      </c>
      <c r="B20" s="18">
        <v>44248</v>
      </c>
      <c r="C20" s="19" t="s">
        <v>29</v>
      </c>
    </row>
    <row r="21" spans="1:3" ht="20">
      <c r="A21" s="17">
        <v>44250</v>
      </c>
      <c r="B21" s="18">
        <v>44250</v>
      </c>
      <c r="C21" s="19" t="s">
        <v>32</v>
      </c>
    </row>
    <row r="22" spans="1:3" ht="20">
      <c r="A22" s="17">
        <v>44254</v>
      </c>
      <c r="B22" s="18">
        <v>44254</v>
      </c>
      <c r="C22" s="19" t="s">
        <v>29</v>
      </c>
    </row>
    <row r="23" spans="1:3" ht="20">
      <c r="A23" s="17">
        <v>44255</v>
      </c>
      <c r="B23" s="18">
        <v>44255</v>
      </c>
      <c r="C23" s="19" t="s">
        <v>29</v>
      </c>
    </row>
    <row r="24" spans="1:3" ht="20">
      <c r="A24" s="17">
        <v>44261</v>
      </c>
      <c r="B24" s="18">
        <v>44261</v>
      </c>
      <c r="C24" s="19" t="s">
        <v>29</v>
      </c>
    </row>
    <row r="25" spans="1:3" ht="20">
      <c r="A25" s="17">
        <v>44262</v>
      </c>
      <c r="B25" s="18">
        <v>44262</v>
      </c>
      <c r="C25" s="19" t="s">
        <v>29</v>
      </c>
    </row>
    <row r="26" spans="1:3" ht="20">
      <c r="A26" s="17">
        <v>44268</v>
      </c>
      <c r="B26" s="18">
        <v>44268</v>
      </c>
      <c r="C26" s="19" t="s">
        <v>29</v>
      </c>
    </row>
    <row r="27" spans="1:3" ht="20">
      <c r="A27" s="17">
        <v>44269</v>
      </c>
      <c r="B27" s="18">
        <v>44269</v>
      </c>
      <c r="C27" s="19" t="s">
        <v>29</v>
      </c>
    </row>
    <row r="28" spans="1:3" ht="20">
      <c r="A28" s="17">
        <v>44275</v>
      </c>
      <c r="B28" s="18">
        <v>44275</v>
      </c>
      <c r="C28" s="19" t="s">
        <v>33</v>
      </c>
    </row>
    <row r="29" spans="1:3" ht="20">
      <c r="A29" s="17">
        <v>44276</v>
      </c>
      <c r="B29" s="18">
        <v>44276</v>
      </c>
      <c r="C29" s="19" t="s">
        <v>29</v>
      </c>
    </row>
    <row r="30" spans="1:3" ht="20">
      <c r="A30" s="17">
        <v>44282</v>
      </c>
      <c r="B30" s="18">
        <v>44282</v>
      </c>
      <c r="C30" s="19" t="s">
        <v>29</v>
      </c>
    </row>
    <row r="31" spans="1:3" ht="20">
      <c r="A31" s="17">
        <v>44283</v>
      </c>
      <c r="B31" s="18">
        <v>44283</v>
      </c>
      <c r="C31" s="19" t="s">
        <v>29</v>
      </c>
    </row>
    <row r="32" spans="1:3" ht="20">
      <c r="A32" s="17">
        <v>44289</v>
      </c>
      <c r="B32" s="18">
        <v>44289</v>
      </c>
      <c r="C32" s="19" t="s">
        <v>29</v>
      </c>
    </row>
    <row r="33" spans="1:3" ht="20">
      <c r="A33" s="17">
        <v>44290</v>
      </c>
      <c r="B33" s="18">
        <v>44290</v>
      </c>
      <c r="C33" s="19" t="s">
        <v>29</v>
      </c>
    </row>
    <row r="34" spans="1:3" ht="20">
      <c r="A34" s="17">
        <v>44296</v>
      </c>
      <c r="B34" s="18">
        <v>44296</v>
      </c>
      <c r="C34" s="19" t="s">
        <v>29</v>
      </c>
    </row>
    <row r="35" spans="1:3" ht="20">
      <c r="A35" s="17">
        <v>44297</v>
      </c>
      <c r="B35" s="18">
        <v>44297</v>
      </c>
      <c r="C35" s="19" t="s">
        <v>29</v>
      </c>
    </row>
    <row r="36" spans="1:3" ht="20">
      <c r="A36" s="17">
        <v>44303</v>
      </c>
      <c r="B36" s="18">
        <v>44303</v>
      </c>
      <c r="C36" s="19" t="s">
        <v>29</v>
      </c>
    </row>
    <row r="37" spans="1:3" ht="20">
      <c r="A37" s="17">
        <v>44304</v>
      </c>
      <c r="B37" s="18">
        <v>44304</v>
      </c>
      <c r="C37" s="19" t="s">
        <v>29</v>
      </c>
    </row>
    <row r="38" spans="1:3" ht="20">
      <c r="A38" s="17">
        <v>44310</v>
      </c>
      <c r="B38" s="18">
        <v>44310</v>
      </c>
      <c r="C38" s="19" t="s">
        <v>29</v>
      </c>
    </row>
    <row r="39" spans="1:3" ht="20">
      <c r="A39" s="17">
        <v>44311</v>
      </c>
      <c r="B39" s="18">
        <v>44311</v>
      </c>
      <c r="C39" s="19" t="s">
        <v>29</v>
      </c>
    </row>
    <row r="40" spans="1:3" ht="20">
      <c r="A40" s="17">
        <v>44315</v>
      </c>
      <c r="B40" s="18">
        <v>44315</v>
      </c>
      <c r="C40" s="19" t="s">
        <v>34</v>
      </c>
    </row>
    <row r="41" spans="1:3" ht="20">
      <c r="A41" s="17">
        <v>44317</v>
      </c>
      <c r="B41" s="18">
        <v>44317</v>
      </c>
      <c r="C41" s="19" t="s">
        <v>29</v>
      </c>
    </row>
    <row r="42" spans="1:3" ht="20">
      <c r="A42" s="17">
        <v>44318</v>
      </c>
      <c r="B42" s="18">
        <v>44318</v>
      </c>
      <c r="C42" s="19" t="s">
        <v>29</v>
      </c>
    </row>
    <row r="43" spans="1:3" ht="20">
      <c r="A43" s="17">
        <v>44319</v>
      </c>
      <c r="B43" s="18">
        <v>44319</v>
      </c>
      <c r="C43" s="19" t="s">
        <v>35</v>
      </c>
    </row>
    <row r="44" spans="1:3" ht="20">
      <c r="A44" s="17">
        <v>44320</v>
      </c>
      <c r="B44" s="18">
        <v>44320</v>
      </c>
      <c r="C44" s="19" t="s">
        <v>36</v>
      </c>
    </row>
    <row r="45" spans="1:3" ht="20">
      <c r="A45" s="17">
        <v>44321</v>
      </c>
      <c r="B45" s="18">
        <v>44321</v>
      </c>
      <c r="C45" s="19" t="s">
        <v>37</v>
      </c>
    </row>
    <row r="46" spans="1:3" ht="20">
      <c r="A46" s="17">
        <v>44324</v>
      </c>
      <c r="B46" s="18">
        <v>44324</v>
      </c>
      <c r="C46" s="19" t="s">
        <v>29</v>
      </c>
    </row>
    <row r="47" spans="1:3" ht="20">
      <c r="A47" s="17">
        <v>44325</v>
      </c>
      <c r="B47" s="18">
        <v>44325</v>
      </c>
      <c r="C47" s="19" t="s">
        <v>29</v>
      </c>
    </row>
    <row r="48" spans="1:3" ht="20">
      <c r="A48" s="17">
        <v>44331</v>
      </c>
      <c r="B48" s="18">
        <v>44331</v>
      </c>
      <c r="C48" s="19" t="s">
        <v>29</v>
      </c>
    </row>
    <row r="49" spans="1:3" ht="20">
      <c r="A49" s="17">
        <v>44332</v>
      </c>
      <c r="B49" s="18">
        <v>44332</v>
      </c>
      <c r="C49" s="19" t="s">
        <v>29</v>
      </c>
    </row>
    <row r="50" spans="1:3" ht="20">
      <c r="A50" s="17">
        <v>44338</v>
      </c>
      <c r="B50" s="18">
        <v>44338</v>
      </c>
      <c r="C50" s="19" t="s">
        <v>29</v>
      </c>
    </row>
    <row r="51" spans="1:3" ht="20">
      <c r="A51" s="17">
        <v>44339</v>
      </c>
      <c r="B51" s="18">
        <v>44339</v>
      </c>
      <c r="C51" s="19" t="s">
        <v>29</v>
      </c>
    </row>
    <row r="52" spans="1:3" ht="20">
      <c r="A52" s="17">
        <v>44345</v>
      </c>
      <c r="B52" s="18">
        <v>44345</v>
      </c>
      <c r="C52" s="19" t="s">
        <v>29</v>
      </c>
    </row>
    <row r="53" spans="1:3" ht="20">
      <c r="A53" s="17">
        <v>44346</v>
      </c>
      <c r="B53" s="18">
        <v>44346</v>
      </c>
      <c r="C53" s="19" t="s">
        <v>29</v>
      </c>
    </row>
    <row r="54" spans="1:3" ht="20">
      <c r="A54" s="17">
        <v>44352</v>
      </c>
      <c r="B54" s="18">
        <v>44352</v>
      </c>
      <c r="C54" s="19" t="s">
        <v>29</v>
      </c>
    </row>
    <row r="55" spans="1:3" ht="20">
      <c r="A55" s="17">
        <v>44353</v>
      </c>
      <c r="B55" s="18">
        <v>44353</v>
      </c>
      <c r="C55" s="19" t="s">
        <v>29</v>
      </c>
    </row>
    <row r="56" spans="1:3" ht="20">
      <c r="A56" s="17">
        <v>44359</v>
      </c>
      <c r="B56" s="18">
        <v>44359</v>
      </c>
      <c r="C56" s="19" t="s">
        <v>29</v>
      </c>
    </row>
    <row r="57" spans="1:3" ht="20">
      <c r="A57" s="17">
        <v>44360</v>
      </c>
      <c r="B57" s="18">
        <v>44360</v>
      </c>
      <c r="C57" s="19" t="s">
        <v>29</v>
      </c>
    </row>
    <row r="58" spans="1:3" ht="20">
      <c r="A58" s="17">
        <v>44366</v>
      </c>
      <c r="B58" s="18">
        <v>44366</v>
      </c>
      <c r="C58" s="19" t="s">
        <v>29</v>
      </c>
    </row>
    <row r="59" spans="1:3" ht="20">
      <c r="A59" s="17">
        <v>44367</v>
      </c>
      <c r="B59" s="18">
        <v>44367</v>
      </c>
      <c r="C59" s="19" t="s">
        <v>29</v>
      </c>
    </row>
    <row r="60" spans="1:3" ht="20">
      <c r="A60" s="17">
        <v>44373</v>
      </c>
      <c r="B60" s="18">
        <v>44373</v>
      </c>
      <c r="C60" s="19" t="s">
        <v>29</v>
      </c>
    </row>
    <row r="61" spans="1:3" ht="20">
      <c r="A61" s="17">
        <v>44374</v>
      </c>
      <c r="B61" s="18">
        <v>44374</v>
      </c>
      <c r="C61" s="19" t="s">
        <v>29</v>
      </c>
    </row>
    <row r="62" spans="1:3" ht="20">
      <c r="A62" s="17">
        <v>44380</v>
      </c>
      <c r="B62" s="18">
        <v>44380</v>
      </c>
      <c r="C62" s="19" t="s">
        <v>29</v>
      </c>
    </row>
    <row r="63" spans="1:3" ht="20">
      <c r="A63" s="17">
        <v>44381</v>
      </c>
      <c r="B63" s="18">
        <v>44381</v>
      </c>
      <c r="C63" s="19" t="s">
        <v>29</v>
      </c>
    </row>
    <row r="64" spans="1:3" ht="20">
      <c r="A64" s="17">
        <v>44387</v>
      </c>
      <c r="B64" s="18">
        <v>44387</v>
      </c>
      <c r="C64" s="19" t="s">
        <v>29</v>
      </c>
    </row>
    <row r="65" spans="1:3" ht="20">
      <c r="A65" s="17">
        <v>44388</v>
      </c>
      <c r="B65" s="18">
        <v>44388</v>
      </c>
      <c r="C65" s="19" t="s">
        <v>29</v>
      </c>
    </row>
    <row r="66" spans="1:3" ht="20">
      <c r="A66" s="17">
        <v>44394</v>
      </c>
      <c r="B66" s="18">
        <v>44394</v>
      </c>
      <c r="C66" s="19" t="s">
        <v>29</v>
      </c>
    </row>
    <row r="67" spans="1:3" ht="20">
      <c r="A67" s="17">
        <v>44395</v>
      </c>
      <c r="B67" s="18">
        <v>44395</v>
      </c>
      <c r="C67" s="19" t="s">
        <v>29</v>
      </c>
    </row>
    <row r="68" spans="1:3" ht="20">
      <c r="A68" s="17">
        <v>44396</v>
      </c>
      <c r="B68" s="18">
        <v>44396</v>
      </c>
      <c r="C68" s="19" t="s">
        <v>38</v>
      </c>
    </row>
    <row r="69" spans="1:3" ht="20">
      <c r="A69" s="17">
        <v>44401</v>
      </c>
      <c r="B69" s="18">
        <v>44401</v>
      </c>
      <c r="C69" s="19" t="s">
        <v>29</v>
      </c>
    </row>
    <row r="70" spans="1:3" ht="20">
      <c r="A70" s="17">
        <v>44402</v>
      </c>
      <c r="B70" s="18">
        <v>44402</v>
      </c>
      <c r="C70" s="19" t="s">
        <v>29</v>
      </c>
    </row>
    <row r="71" spans="1:3" ht="20">
      <c r="A71" s="17">
        <v>44408</v>
      </c>
      <c r="B71" s="18">
        <v>44408</v>
      </c>
      <c r="C71" s="19" t="s">
        <v>29</v>
      </c>
    </row>
    <row r="72" spans="1:3" ht="20">
      <c r="A72" s="17">
        <v>44409</v>
      </c>
      <c r="B72" s="18">
        <v>44409</v>
      </c>
      <c r="C72" s="19" t="s">
        <v>29</v>
      </c>
    </row>
    <row r="73" spans="1:3" ht="20">
      <c r="A73" s="17">
        <v>44415</v>
      </c>
      <c r="B73" s="18">
        <v>44415</v>
      </c>
      <c r="C73" s="19" t="s">
        <v>29</v>
      </c>
    </row>
    <row r="74" spans="1:3" ht="20">
      <c r="A74" s="17">
        <v>44416</v>
      </c>
      <c r="B74" s="18">
        <v>44416</v>
      </c>
      <c r="C74" s="19" t="s">
        <v>29</v>
      </c>
    </row>
    <row r="75" spans="1:3" ht="20">
      <c r="A75" s="17">
        <v>44419</v>
      </c>
      <c r="B75" s="18">
        <v>44419</v>
      </c>
      <c r="C75" s="19" t="s">
        <v>39</v>
      </c>
    </row>
    <row r="76" spans="1:3" ht="20">
      <c r="A76" s="17">
        <v>44422</v>
      </c>
      <c r="B76" s="18">
        <v>44422</v>
      </c>
      <c r="C76" s="19" t="s">
        <v>29</v>
      </c>
    </row>
    <row r="77" spans="1:3" ht="20">
      <c r="A77" s="17">
        <v>44423</v>
      </c>
      <c r="B77" s="18">
        <v>44423</v>
      </c>
      <c r="C77" s="19" t="s">
        <v>29</v>
      </c>
    </row>
    <row r="78" spans="1:3" ht="20">
      <c r="A78" s="17">
        <v>44429</v>
      </c>
      <c r="B78" s="18">
        <v>44429</v>
      </c>
      <c r="C78" s="19" t="s">
        <v>29</v>
      </c>
    </row>
    <row r="79" spans="1:3" ht="20">
      <c r="A79" s="17">
        <v>44430</v>
      </c>
      <c r="B79" s="18">
        <v>44430</v>
      </c>
      <c r="C79" s="19" t="s">
        <v>29</v>
      </c>
    </row>
    <row r="80" spans="1:3" ht="20">
      <c r="A80" s="17">
        <v>44436</v>
      </c>
      <c r="B80" s="18">
        <v>44436</v>
      </c>
      <c r="C80" s="19" t="s">
        <v>29</v>
      </c>
    </row>
    <row r="81" spans="1:3" ht="20">
      <c r="A81" s="17">
        <v>44437</v>
      </c>
      <c r="B81" s="18">
        <v>44437</v>
      </c>
      <c r="C81" s="19" t="s">
        <v>29</v>
      </c>
    </row>
    <row r="82" spans="1:3" ht="20">
      <c r="A82" s="17">
        <v>44443</v>
      </c>
      <c r="B82" s="18">
        <v>44443</v>
      </c>
      <c r="C82" s="19" t="s">
        <v>29</v>
      </c>
    </row>
    <row r="83" spans="1:3" ht="20">
      <c r="A83" s="17">
        <v>44444</v>
      </c>
      <c r="B83" s="18">
        <v>44444</v>
      </c>
      <c r="C83" s="19" t="s">
        <v>29</v>
      </c>
    </row>
    <row r="84" spans="1:3" ht="20">
      <c r="A84" s="17">
        <v>44450</v>
      </c>
      <c r="B84" s="18">
        <v>44450</v>
      </c>
      <c r="C84" s="19" t="s">
        <v>29</v>
      </c>
    </row>
    <row r="85" spans="1:3" ht="20">
      <c r="A85" s="17">
        <v>44451</v>
      </c>
      <c r="B85" s="18">
        <v>44451</v>
      </c>
      <c r="C85" s="19" t="s">
        <v>29</v>
      </c>
    </row>
    <row r="86" spans="1:3" ht="20">
      <c r="A86" s="17">
        <v>44457</v>
      </c>
      <c r="B86" s="18">
        <v>44457</v>
      </c>
      <c r="C86" s="19" t="s">
        <v>29</v>
      </c>
    </row>
    <row r="87" spans="1:3" ht="20">
      <c r="A87" s="17">
        <v>44458</v>
      </c>
      <c r="B87" s="18">
        <v>44458</v>
      </c>
      <c r="C87" s="19" t="s">
        <v>29</v>
      </c>
    </row>
    <row r="88" spans="1:3" ht="20">
      <c r="A88" s="17">
        <v>44459</v>
      </c>
      <c r="B88" s="18">
        <v>44459</v>
      </c>
      <c r="C88" s="19" t="s">
        <v>40</v>
      </c>
    </row>
    <row r="89" spans="1:3" ht="20">
      <c r="A89" s="17">
        <v>44462</v>
      </c>
      <c r="B89" s="18">
        <v>44462</v>
      </c>
      <c r="C89" s="19" t="s">
        <v>41</v>
      </c>
    </row>
    <row r="90" spans="1:3" ht="20">
      <c r="A90" s="17">
        <v>44464</v>
      </c>
      <c r="B90" s="18">
        <v>44464</v>
      </c>
      <c r="C90" s="19" t="s">
        <v>29</v>
      </c>
    </row>
    <row r="91" spans="1:3" ht="20">
      <c r="A91" s="17">
        <v>44465</v>
      </c>
      <c r="B91" s="18">
        <v>44465</v>
      </c>
      <c r="C91" s="19" t="s">
        <v>29</v>
      </c>
    </row>
    <row r="92" spans="1:3" ht="20">
      <c r="A92" s="17">
        <v>44471</v>
      </c>
      <c r="B92" s="18">
        <v>44471</v>
      </c>
      <c r="C92" s="19" t="s">
        <v>29</v>
      </c>
    </row>
    <row r="93" spans="1:3" ht="20">
      <c r="A93" s="17">
        <v>44472</v>
      </c>
      <c r="B93" s="18">
        <v>44472</v>
      </c>
      <c r="C93" s="19" t="s">
        <v>29</v>
      </c>
    </row>
    <row r="94" spans="1:3" ht="20">
      <c r="A94" s="17">
        <v>44478</v>
      </c>
      <c r="B94" s="18">
        <v>44478</v>
      </c>
      <c r="C94" s="19" t="s">
        <v>29</v>
      </c>
    </row>
    <row r="95" spans="1:3" ht="20">
      <c r="A95" s="17">
        <v>44479</v>
      </c>
      <c r="B95" s="18">
        <v>44479</v>
      </c>
      <c r="C95" s="19" t="s">
        <v>29</v>
      </c>
    </row>
    <row r="96" spans="1:3" ht="20">
      <c r="A96" s="17">
        <v>44480</v>
      </c>
      <c r="B96" s="18">
        <v>44480</v>
      </c>
      <c r="C96" s="19" t="s">
        <v>42</v>
      </c>
    </row>
    <row r="97" spans="1:3" ht="20">
      <c r="A97" s="17">
        <v>44485</v>
      </c>
      <c r="B97" s="18">
        <v>44485</v>
      </c>
      <c r="C97" s="19" t="s">
        <v>29</v>
      </c>
    </row>
    <row r="98" spans="1:3" ht="20">
      <c r="A98" s="17">
        <v>44486</v>
      </c>
      <c r="B98" s="18">
        <v>44486</v>
      </c>
      <c r="C98" s="19" t="s">
        <v>29</v>
      </c>
    </row>
    <row r="99" spans="1:3" ht="20">
      <c r="A99" s="17">
        <v>44492</v>
      </c>
      <c r="B99" s="18">
        <v>44492</v>
      </c>
      <c r="C99" s="19" t="s">
        <v>29</v>
      </c>
    </row>
    <row r="100" spans="1:3" ht="20">
      <c r="A100" s="17">
        <v>44493</v>
      </c>
      <c r="B100" s="18">
        <v>44493</v>
      </c>
      <c r="C100" s="19" t="s">
        <v>29</v>
      </c>
    </row>
    <row r="101" spans="1:3" ht="20">
      <c r="A101" s="17">
        <v>44499</v>
      </c>
      <c r="B101" s="18">
        <v>44499</v>
      </c>
      <c r="C101" s="19" t="s">
        <v>29</v>
      </c>
    </row>
    <row r="102" spans="1:3" ht="20">
      <c r="A102" s="17">
        <v>44500</v>
      </c>
      <c r="B102" s="18">
        <v>44500</v>
      </c>
      <c r="C102" s="19" t="s">
        <v>29</v>
      </c>
    </row>
    <row r="103" spans="1:3" ht="20">
      <c r="A103" s="17">
        <v>44503</v>
      </c>
      <c r="B103" s="18">
        <v>44503</v>
      </c>
      <c r="C103" s="19" t="s">
        <v>43</v>
      </c>
    </row>
    <row r="104" spans="1:3" ht="20">
      <c r="A104" s="17">
        <v>44506</v>
      </c>
      <c r="B104" s="18">
        <v>44506</v>
      </c>
      <c r="C104" s="19" t="s">
        <v>29</v>
      </c>
    </row>
    <row r="105" spans="1:3" ht="20">
      <c r="A105" s="17">
        <v>44507</v>
      </c>
      <c r="B105" s="18">
        <v>44507</v>
      </c>
      <c r="C105" s="19" t="s">
        <v>29</v>
      </c>
    </row>
    <row r="106" spans="1:3" ht="20">
      <c r="A106" s="17">
        <v>44513</v>
      </c>
      <c r="B106" s="18">
        <v>44513</v>
      </c>
      <c r="C106" s="19" t="s">
        <v>29</v>
      </c>
    </row>
    <row r="107" spans="1:3" ht="20">
      <c r="A107" s="17">
        <v>44514</v>
      </c>
      <c r="B107" s="18">
        <v>44514</v>
      </c>
      <c r="C107" s="19" t="s">
        <v>29</v>
      </c>
    </row>
    <row r="108" spans="1:3" ht="20">
      <c r="A108" s="17">
        <v>44520</v>
      </c>
      <c r="B108" s="18">
        <v>44520</v>
      </c>
      <c r="C108" s="19" t="s">
        <v>29</v>
      </c>
    </row>
    <row r="109" spans="1:3" ht="20">
      <c r="A109" s="17">
        <v>44521</v>
      </c>
      <c r="B109" s="18">
        <v>44521</v>
      </c>
      <c r="C109" s="19" t="s">
        <v>29</v>
      </c>
    </row>
    <row r="110" spans="1:3" ht="20">
      <c r="A110" s="17">
        <v>44523</v>
      </c>
      <c r="B110" s="18">
        <v>44523</v>
      </c>
      <c r="C110" s="19" t="s">
        <v>44</v>
      </c>
    </row>
    <row r="111" spans="1:3" ht="20">
      <c r="A111" s="17">
        <v>44527</v>
      </c>
      <c r="B111" s="18">
        <v>44527</v>
      </c>
      <c r="C111" s="19" t="s">
        <v>29</v>
      </c>
    </row>
    <row r="112" spans="1:3" ht="20">
      <c r="A112" s="17">
        <v>44528</v>
      </c>
      <c r="B112" s="18">
        <v>44528</v>
      </c>
      <c r="C112" s="19" t="s">
        <v>29</v>
      </c>
    </row>
    <row r="113" spans="1:3" ht="20">
      <c r="A113" s="17">
        <v>44534</v>
      </c>
      <c r="B113" s="18">
        <v>44534</v>
      </c>
      <c r="C113" s="19" t="s">
        <v>29</v>
      </c>
    </row>
    <row r="114" spans="1:3" ht="20">
      <c r="A114" s="17">
        <v>44535</v>
      </c>
      <c r="B114" s="18">
        <v>44535</v>
      </c>
      <c r="C114" s="19" t="s">
        <v>29</v>
      </c>
    </row>
    <row r="115" spans="1:3" ht="20">
      <c r="A115" s="17">
        <v>44541</v>
      </c>
      <c r="B115" s="18">
        <v>44541</v>
      </c>
      <c r="C115" s="19" t="s">
        <v>29</v>
      </c>
    </row>
    <row r="116" spans="1:3" ht="20">
      <c r="A116" s="17">
        <v>44542</v>
      </c>
      <c r="B116" s="18">
        <v>44542</v>
      </c>
      <c r="C116" s="19" t="s">
        <v>29</v>
      </c>
    </row>
    <row r="117" spans="1:3" ht="20">
      <c r="A117" s="17">
        <v>44548</v>
      </c>
      <c r="B117" s="18">
        <v>44548</v>
      </c>
      <c r="C117" s="19" t="s">
        <v>29</v>
      </c>
    </row>
    <row r="118" spans="1:3" ht="20">
      <c r="A118" s="17">
        <v>44549</v>
      </c>
      <c r="B118" s="18">
        <v>44549</v>
      </c>
      <c r="C118" s="19" t="s">
        <v>29</v>
      </c>
    </row>
    <row r="119" spans="1:3" ht="20">
      <c r="A119" s="17">
        <v>44555</v>
      </c>
      <c r="B119" s="18">
        <v>44555</v>
      </c>
      <c r="C119" s="19" t="s">
        <v>29</v>
      </c>
    </row>
    <row r="120" spans="1:3" ht="20">
      <c r="A120" s="17">
        <v>44556</v>
      </c>
      <c r="B120" s="18">
        <v>44556</v>
      </c>
      <c r="C120" s="19" t="s">
        <v>29</v>
      </c>
    </row>
    <row r="121" spans="1:3" ht="20">
      <c r="A121" s="17">
        <v>44562</v>
      </c>
      <c r="B121" s="18">
        <v>44562</v>
      </c>
      <c r="C121" s="19" t="s">
        <v>28</v>
      </c>
    </row>
    <row r="122" spans="1:3" ht="20">
      <c r="A122" s="17">
        <v>44563</v>
      </c>
      <c r="B122" s="18">
        <v>44563</v>
      </c>
      <c r="C122" s="19" t="s">
        <v>29</v>
      </c>
    </row>
    <row r="123" spans="1:3" ht="20">
      <c r="A123" s="17">
        <v>44569</v>
      </c>
      <c r="B123" s="18">
        <v>44569</v>
      </c>
      <c r="C123" s="19" t="s">
        <v>29</v>
      </c>
    </row>
    <row r="124" spans="1:3" ht="20">
      <c r="A124" s="17">
        <v>44570</v>
      </c>
      <c r="B124" s="18">
        <v>44570</v>
      </c>
      <c r="C124" s="19" t="s">
        <v>29</v>
      </c>
    </row>
    <row r="125" spans="1:3" ht="20">
      <c r="A125" s="17">
        <v>44571</v>
      </c>
      <c r="B125" s="18">
        <v>44571</v>
      </c>
      <c r="C125" s="19" t="s">
        <v>30</v>
      </c>
    </row>
    <row r="126" spans="1:3" ht="20">
      <c r="A126" s="17">
        <v>44576</v>
      </c>
      <c r="B126" s="18">
        <v>44576</v>
      </c>
      <c r="C126" s="19" t="s">
        <v>29</v>
      </c>
    </row>
    <row r="127" spans="1:3" ht="20">
      <c r="A127" s="17">
        <v>44577</v>
      </c>
      <c r="B127" s="18">
        <v>44577</v>
      </c>
      <c r="C127" s="19" t="s">
        <v>29</v>
      </c>
    </row>
    <row r="128" spans="1:3" ht="20">
      <c r="A128" s="17">
        <v>44583</v>
      </c>
      <c r="B128" s="18">
        <v>44583</v>
      </c>
      <c r="C128" s="19" t="s">
        <v>29</v>
      </c>
    </row>
    <row r="129" spans="1:3" ht="20">
      <c r="A129" s="17">
        <v>44584</v>
      </c>
      <c r="B129" s="18">
        <v>44584</v>
      </c>
      <c r="C129" s="19" t="s">
        <v>29</v>
      </c>
    </row>
    <row r="130" spans="1:3" ht="20">
      <c r="A130" s="17">
        <v>44590</v>
      </c>
      <c r="B130" s="18">
        <v>44590</v>
      </c>
      <c r="C130" s="19" t="s">
        <v>29</v>
      </c>
    </row>
    <row r="131" spans="1:3" ht="20">
      <c r="A131" s="17">
        <v>44591</v>
      </c>
      <c r="B131" s="18">
        <v>44591</v>
      </c>
      <c r="C131" s="19" t="s">
        <v>29</v>
      </c>
    </row>
    <row r="132" spans="1:3" ht="20">
      <c r="A132" s="17">
        <v>44597</v>
      </c>
      <c r="B132" s="18">
        <v>44597</v>
      </c>
      <c r="C132" s="19" t="s">
        <v>29</v>
      </c>
    </row>
    <row r="133" spans="1:3" ht="20">
      <c r="A133" s="17">
        <v>44598</v>
      </c>
      <c r="B133" s="18">
        <v>44598</v>
      </c>
      <c r="C133" s="19" t="s">
        <v>29</v>
      </c>
    </row>
    <row r="134" spans="1:3" ht="20">
      <c r="A134" s="17">
        <v>44603</v>
      </c>
      <c r="B134" s="18">
        <v>44603</v>
      </c>
      <c r="C134" s="19" t="s">
        <v>31</v>
      </c>
    </row>
    <row r="135" spans="1:3" ht="20">
      <c r="A135" s="17">
        <v>44604</v>
      </c>
      <c r="B135" s="18">
        <v>44604</v>
      </c>
      <c r="C135" s="19" t="s">
        <v>29</v>
      </c>
    </row>
    <row r="136" spans="1:3" ht="20">
      <c r="A136" s="17">
        <v>44605</v>
      </c>
      <c r="B136" s="18">
        <v>44605</v>
      </c>
      <c r="C136" s="19" t="s">
        <v>29</v>
      </c>
    </row>
    <row r="137" spans="1:3" ht="20">
      <c r="A137" s="17">
        <v>44611</v>
      </c>
      <c r="B137" s="18">
        <v>44611</v>
      </c>
      <c r="C137" s="19" t="s">
        <v>29</v>
      </c>
    </row>
    <row r="138" spans="1:3" ht="20">
      <c r="A138" s="17">
        <v>44612</v>
      </c>
      <c r="B138" s="18">
        <v>44612</v>
      </c>
      <c r="C138" s="19" t="s">
        <v>29</v>
      </c>
    </row>
    <row r="139" spans="1:3" ht="20">
      <c r="A139" s="17">
        <v>44615</v>
      </c>
      <c r="B139" s="18">
        <v>44615</v>
      </c>
      <c r="C139" s="19" t="s">
        <v>32</v>
      </c>
    </row>
    <row r="140" spans="1:3" ht="20">
      <c r="A140" s="17">
        <v>44618</v>
      </c>
      <c r="B140" s="18">
        <v>44618</v>
      </c>
      <c r="C140" s="19" t="s">
        <v>29</v>
      </c>
    </row>
    <row r="141" spans="1:3" ht="20">
      <c r="A141" s="17">
        <v>44619</v>
      </c>
      <c r="B141" s="18">
        <v>44619</v>
      </c>
      <c r="C141" s="19" t="s">
        <v>29</v>
      </c>
    </row>
    <row r="142" spans="1:3" ht="20">
      <c r="A142" s="17">
        <v>44625</v>
      </c>
      <c r="B142" s="18">
        <v>44625</v>
      </c>
      <c r="C142" s="19" t="s">
        <v>29</v>
      </c>
    </row>
    <row r="143" spans="1:3" ht="20">
      <c r="A143" s="17">
        <v>44626</v>
      </c>
      <c r="B143" s="18">
        <v>44626</v>
      </c>
      <c r="C143" s="19" t="s">
        <v>29</v>
      </c>
    </row>
    <row r="144" spans="1:3" ht="20">
      <c r="A144" s="17">
        <v>44632</v>
      </c>
      <c r="B144" s="18">
        <v>44632</v>
      </c>
      <c r="C144" s="19" t="s">
        <v>29</v>
      </c>
    </row>
    <row r="145" spans="1:3" ht="20">
      <c r="A145" s="17">
        <v>44633</v>
      </c>
      <c r="B145" s="18">
        <v>44633</v>
      </c>
      <c r="C145" s="19" t="s">
        <v>29</v>
      </c>
    </row>
    <row r="146" spans="1:3" ht="20">
      <c r="A146" s="17">
        <v>44639</v>
      </c>
      <c r="B146" s="18">
        <v>44639</v>
      </c>
      <c r="C146" s="19" t="s">
        <v>29</v>
      </c>
    </row>
    <row r="147" spans="1:3" ht="20">
      <c r="A147" s="17">
        <v>44640</v>
      </c>
      <c r="B147" s="18">
        <v>44640</v>
      </c>
      <c r="C147" s="19" t="s">
        <v>29</v>
      </c>
    </row>
    <row r="148" spans="1:3" ht="20">
      <c r="A148" s="17">
        <v>44641</v>
      </c>
      <c r="B148" s="18">
        <v>44641</v>
      </c>
      <c r="C148" s="19" t="s">
        <v>33</v>
      </c>
    </row>
    <row r="149" spans="1:3" ht="20">
      <c r="A149" s="17">
        <v>44646</v>
      </c>
      <c r="B149" s="18">
        <v>44646</v>
      </c>
      <c r="C149" s="19" t="s">
        <v>29</v>
      </c>
    </row>
    <row r="150" spans="1:3" ht="20">
      <c r="A150" s="17">
        <v>44647</v>
      </c>
      <c r="B150" s="18">
        <v>44647</v>
      </c>
      <c r="C150" s="19" t="s">
        <v>29</v>
      </c>
    </row>
    <row r="151" spans="1:3" ht="20">
      <c r="A151" s="17">
        <v>44653</v>
      </c>
      <c r="B151" s="18">
        <v>44653</v>
      </c>
      <c r="C151" s="19" t="s">
        <v>29</v>
      </c>
    </row>
    <row r="152" spans="1:3" ht="20">
      <c r="A152" s="17">
        <v>44654</v>
      </c>
      <c r="B152" s="18">
        <v>44654</v>
      </c>
      <c r="C152" s="19" t="s">
        <v>29</v>
      </c>
    </row>
    <row r="153" spans="1:3" ht="20">
      <c r="A153" s="17">
        <v>44660</v>
      </c>
      <c r="B153" s="18">
        <v>44660</v>
      </c>
      <c r="C153" s="19" t="s">
        <v>29</v>
      </c>
    </row>
    <row r="154" spans="1:3" ht="20">
      <c r="A154" s="17">
        <v>44661</v>
      </c>
      <c r="B154" s="18">
        <v>44661</v>
      </c>
      <c r="C154" s="19" t="s">
        <v>29</v>
      </c>
    </row>
    <row r="155" spans="1:3" ht="20">
      <c r="A155" s="17">
        <v>44667</v>
      </c>
      <c r="B155" s="18">
        <v>44667</v>
      </c>
      <c r="C155" s="19" t="s">
        <v>29</v>
      </c>
    </row>
    <row r="156" spans="1:3" ht="20">
      <c r="A156" s="17">
        <v>44668</v>
      </c>
      <c r="B156" s="18">
        <v>44668</v>
      </c>
      <c r="C156" s="19" t="s">
        <v>29</v>
      </c>
    </row>
    <row r="157" spans="1:3" ht="20">
      <c r="A157" s="17">
        <v>44674</v>
      </c>
      <c r="B157" s="18">
        <v>44674</v>
      </c>
      <c r="C157" s="19" t="s">
        <v>29</v>
      </c>
    </row>
    <row r="158" spans="1:3" ht="20">
      <c r="A158" s="17">
        <v>44675</v>
      </c>
      <c r="B158" s="18">
        <v>44675</v>
      </c>
      <c r="C158" s="19" t="s">
        <v>29</v>
      </c>
    </row>
    <row r="159" spans="1:3" ht="20">
      <c r="A159" s="17">
        <v>44680</v>
      </c>
      <c r="B159" s="18">
        <v>44680</v>
      </c>
      <c r="C159" s="19" t="s">
        <v>34</v>
      </c>
    </row>
    <row r="160" spans="1:3" ht="20">
      <c r="A160" s="17">
        <v>44681</v>
      </c>
      <c r="B160" s="18">
        <v>44681</v>
      </c>
      <c r="C160" s="19" t="s">
        <v>29</v>
      </c>
    </row>
    <row r="161" spans="1:3" ht="20">
      <c r="A161" s="17">
        <v>44682</v>
      </c>
      <c r="B161" s="18">
        <v>44682</v>
      </c>
      <c r="C161" s="19" t="s">
        <v>29</v>
      </c>
    </row>
    <row r="162" spans="1:3" ht="20">
      <c r="A162" s="17">
        <v>44684</v>
      </c>
      <c r="B162" s="18">
        <v>44684</v>
      </c>
      <c r="C162" s="19" t="s">
        <v>35</v>
      </c>
    </row>
    <row r="163" spans="1:3" ht="20">
      <c r="A163" s="17">
        <v>44685</v>
      </c>
      <c r="B163" s="18">
        <v>44685</v>
      </c>
      <c r="C163" s="19" t="s">
        <v>36</v>
      </c>
    </row>
    <row r="164" spans="1:3" ht="20">
      <c r="A164" s="17">
        <v>44686</v>
      </c>
      <c r="B164" s="18">
        <v>44686</v>
      </c>
      <c r="C164" s="19" t="s">
        <v>37</v>
      </c>
    </row>
    <row r="165" spans="1:3" ht="20">
      <c r="A165" s="17">
        <v>44688</v>
      </c>
      <c r="B165" s="18">
        <v>44688</v>
      </c>
      <c r="C165" s="19" t="s">
        <v>29</v>
      </c>
    </row>
    <row r="166" spans="1:3" ht="20">
      <c r="A166" s="17">
        <v>44689</v>
      </c>
      <c r="B166" s="18">
        <v>44689</v>
      </c>
      <c r="C166" s="19" t="s">
        <v>29</v>
      </c>
    </row>
    <row r="167" spans="1:3" ht="20">
      <c r="A167" s="17">
        <v>44695</v>
      </c>
      <c r="B167" s="18">
        <v>44695</v>
      </c>
      <c r="C167" s="19" t="s">
        <v>29</v>
      </c>
    </row>
    <row r="168" spans="1:3" ht="20">
      <c r="A168" s="17">
        <v>44696</v>
      </c>
      <c r="B168" s="18">
        <v>44696</v>
      </c>
      <c r="C168" s="19" t="s">
        <v>29</v>
      </c>
    </row>
    <row r="169" spans="1:3" ht="20">
      <c r="A169" s="17">
        <v>44702</v>
      </c>
      <c r="B169" s="18">
        <v>44702</v>
      </c>
      <c r="C169" s="19" t="s">
        <v>29</v>
      </c>
    </row>
    <row r="170" spans="1:3" ht="20">
      <c r="A170" s="17">
        <v>44703</v>
      </c>
      <c r="B170" s="18">
        <v>44703</v>
      </c>
      <c r="C170" s="19" t="s">
        <v>29</v>
      </c>
    </row>
    <row r="171" spans="1:3" ht="20">
      <c r="A171" s="17">
        <v>44709</v>
      </c>
      <c r="B171" s="18">
        <v>44709</v>
      </c>
      <c r="C171" s="19" t="s">
        <v>29</v>
      </c>
    </row>
    <row r="172" spans="1:3" ht="20">
      <c r="A172" s="17">
        <v>44710</v>
      </c>
      <c r="B172" s="18">
        <v>44710</v>
      </c>
      <c r="C172" s="19" t="s">
        <v>29</v>
      </c>
    </row>
    <row r="173" spans="1:3" ht="20">
      <c r="A173" s="17">
        <v>44716</v>
      </c>
      <c r="B173" s="18">
        <v>44716</v>
      </c>
      <c r="C173" s="19" t="s">
        <v>29</v>
      </c>
    </row>
    <row r="174" spans="1:3" ht="20">
      <c r="A174" s="17">
        <v>44717</v>
      </c>
      <c r="B174" s="18">
        <v>44717</v>
      </c>
      <c r="C174" s="19" t="s">
        <v>29</v>
      </c>
    </row>
    <row r="175" spans="1:3" ht="20">
      <c r="A175" s="17">
        <v>44723</v>
      </c>
      <c r="B175" s="18">
        <v>44723</v>
      </c>
      <c r="C175" s="19" t="s">
        <v>29</v>
      </c>
    </row>
    <row r="176" spans="1:3" ht="20">
      <c r="A176" s="17">
        <v>44724</v>
      </c>
      <c r="B176" s="18">
        <v>44724</v>
      </c>
      <c r="C176" s="19" t="s">
        <v>29</v>
      </c>
    </row>
    <row r="177" spans="1:3" ht="20">
      <c r="A177" s="17">
        <v>44730</v>
      </c>
      <c r="B177" s="18">
        <v>44730</v>
      </c>
      <c r="C177" s="19" t="s">
        <v>29</v>
      </c>
    </row>
    <row r="178" spans="1:3" ht="20">
      <c r="A178" s="17">
        <v>44731</v>
      </c>
      <c r="B178" s="18">
        <v>44731</v>
      </c>
      <c r="C178" s="19" t="s">
        <v>29</v>
      </c>
    </row>
    <row r="179" spans="1:3" ht="20">
      <c r="A179" s="17">
        <v>44737</v>
      </c>
      <c r="B179" s="18">
        <v>44737</v>
      </c>
      <c r="C179" s="19" t="s">
        <v>29</v>
      </c>
    </row>
    <row r="180" spans="1:3" ht="20">
      <c r="A180" s="17">
        <v>44738</v>
      </c>
      <c r="B180" s="18">
        <v>44738</v>
      </c>
      <c r="C180" s="19" t="s">
        <v>29</v>
      </c>
    </row>
    <row r="181" spans="1:3" ht="20">
      <c r="A181" s="17">
        <v>44744</v>
      </c>
      <c r="B181" s="18">
        <v>44744</v>
      </c>
      <c r="C181" s="19" t="s">
        <v>29</v>
      </c>
    </row>
    <row r="182" spans="1:3" ht="20">
      <c r="A182" s="17">
        <v>44745</v>
      </c>
      <c r="B182" s="18">
        <v>44745</v>
      </c>
      <c r="C182" s="19" t="s">
        <v>29</v>
      </c>
    </row>
    <row r="183" spans="1:3" ht="20">
      <c r="A183" s="17">
        <v>44751</v>
      </c>
      <c r="B183" s="18">
        <v>44751</v>
      </c>
      <c r="C183" s="19" t="s">
        <v>29</v>
      </c>
    </row>
    <row r="184" spans="1:3" ht="20">
      <c r="A184" s="17">
        <v>44752</v>
      </c>
      <c r="B184" s="18">
        <v>44752</v>
      </c>
      <c r="C184" s="19" t="s">
        <v>29</v>
      </c>
    </row>
    <row r="185" spans="1:3" ht="20">
      <c r="A185" s="17">
        <v>44758</v>
      </c>
      <c r="B185" s="18">
        <v>44758</v>
      </c>
      <c r="C185" s="19" t="s">
        <v>29</v>
      </c>
    </row>
    <row r="186" spans="1:3" ht="20">
      <c r="A186" s="17">
        <v>44759</v>
      </c>
      <c r="B186" s="18">
        <v>44759</v>
      </c>
      <c r="C186" s="19" t="s">
        <v>29</v>
      </c>
    </row>
    <row r="187" spans="1:3" ht="20">
      <c r="A187" s="17">
        <v>44760</v>
      </c>
      <c r="B187" s="18">
        <v>44760</v>
      </c>
      <c r="C187" s="19" t="s">
        <v>38</v>
      </c>
    </row>
    <row r="188" spans="1:3" ht="20">
      <c r="A188" s="17">
        <v>44765</v>
      </c>
      <c r="B188" s="18">
        <v>44765</v>
      </c>
      <c r="C188" s="19" t="s">
        <v>29</v>
      </c>
    </row>
    <row r="189" spans="1:3" ht="20">
      <c r="A189" s="17">
        <v>44766</v>
      </c>
      <c r="B189" s="18">
        <v>44766</v>
      </c>
      <c r="C189" s="19" t="s">
        <v>29</v>
      </c>
    </row>
    <row r="190" spans="1:3" ht="20">
      <c r="A190" s="17">
        <v>44772</v>
      </c>
      <c r="B190" s="18">
        <v>44772</v>
      </c>
      <c r="C190" s="19" t="s">
        <v>29</v>
      </c>
    </row>
    <row r="191" spans="1:3" ht="20">
      <c r="A191" s="17">
        <v>44773</v>
      </c>
      <c r="B191" s="18">
        <v>44773</v>
      </c>
      <c r="C191" s="19" t="s">
        <v>29</v>
      </c>
    </row>
    <row r="192" spans="1:3" ht="20">
      <c r="A192" s="17">
        <v>44779</v>
      </c>
      <c r="B192" s="18">
        <v>44779</v>
      </c>
      <c r="C192" s="19" t="s">
        <v>29</v>
      </c>
    </row>
    <row r="193" spans="1:3" ht="20">
      <c r="A193" s="17">
        <v>44780</v>
      </c>
      <c r="B193" s="18">
        <v>44780</v>
      </c>
      <c r="C193" s="19" t="s">
        <v>29</v>
      </c>
    </row>
    <row r="194" spans="1:3" ht="20">
      <c r="A194" s="17">
        <v>44784</v>
      </c>
      <c r="B194" s="18">
        <v>44784</v>
      </c>
      <c r="C194" s="19" t="s">
        <v>39</v>
      </c>
    </row>
    <row r="195" spans="1:3" ht="20">
      <c r="A195" s="17">
        <v>44786</v>
      </c>
      <c r="B195" s="18">
        <v>44786</v>
      </c>
      <c r="C195" s="19" t="s">
        <v>29</v>
      </c>
    </row>
    <row r="196" spans="1:3" ht="20">
      <c r="A196" s="17">
        <v>44787</v>
      </c>
      <c r="B196" s="18">
        <v>44787</v>
      </c>
      <c r="C196" s="19" t="s">
        <v>29</v>
      </c>
    </row>
    <row r="197" spans="1:3" ht="20">
      <c r="A197" s="17">
        <v>44793</v>
      </c>
      <c r="B197" s="18">
        <v>44793</v>
      </c>
      <c r="C197" s="19" t="s">
        <v>29</v>
      </c>
    </row>
    <row r="198" spans="1:3" ht="20">
      <c r="A198" s="17">
        <v>44794</v>
      </c>
      <c r="B198" s="18">
        <v>44794</v>
      </c>
      <c r="C198" s="19" t="s">
        <v>29</v>
      </c>
    </row>
    <row r="199" spans="1:3" ht="20">
      <c r="A199" s="17">
        <v>44800</v>
      </c>
      <c r="B199" s="18">
        <v>44800</v>
      </c>
      <c r="C199" s="19" t="s">
        <v>29</v>
      </c>
    </row>
    <row r="200" spans="1:3" ht="20">
      <c r="A200" s="17">
        <v>44801</v>
      </c>
      <c r="B200" s="18">
        <v>44801</v>
      </c>
      <c r="C200" s="19" t="s">
        <v>29</v>
      </c>
    </row>
    <row r="201" spans="1:3" ht="20">
      <c r="A201" s="17">
        <v>44807</v>
      </c>
      <c r="B201" s="18">
        <v>44807</v>
      </c>
      <c r="C201" s="19" t="s">
        <v>29</v>
      </c>
    </row>
    <row r="202" spans="1:3" ht="20">
      <c r="A202" s="17">
        <v>44808</v>
      </c>
      <c r="B202" s="18">
        <v>44808</v>
      </c>
      <c r="C202" s="19" t="s">
        <v>29</v>
      </c>
    </row>
    <row r="203" spans="1:3" ht="20">
      <c r="A203" s="17">
        <v>44814</v>
      </c>
      <c r="B203" s="18">
        <v>44814</v>
      </c>
      <c r="C203" s="19" t="s">
        <v>29</v>
      </c>
    </row>
    <row r="204" spans="1:3" ht="20">
      <c r="A204" s="17">
        <v>44815</v>
      </c>
      <c r="B204" s="18">
        <v>44815</v>
      </c>
      <c r="C204" s="19" t="s">
        <v>29</v>
      </c>
    </row>
    <row r="205" spans="1:3" ht="20">
      <c r="A205" s="17">
        <v>44821</v>
      </c>
      <c r="B205" s="18">
        <v>44821</v>
      </c>
      <c r="C205" s="19" t="s">
        <v>29</v>
      </c>
    </row>
    <row r="206" spans="1:3" ht="20">
      <c r="A206" s="17">
        <v>44822</v>
      </c>
      <c r="B206" s="18">
        <v>44822</v>
      </c>
      <c r="C206" s="19" t="s">
        <v>29</v>
      </c>
    </row>
    <row r="207" spans="1:3" ht="20">
      <c r="A207" s="17">
        <v>44823</v>
      </c>
      <c r="B207" s="18">
        <v>44823</v>
      </c>
      <c r="C207" s="19" t="s">
        <v>40</v>
      </c>
    </row>
    <row r="208" spans="1:3" ht="20">
      <c r="A208" s="17">
        <v>44827</v>
      </c>
      <c r="B208" s="18">
        <v>44827</v>
      </c>
      <c r="C208" s="19" t="s">
        <v>41</v>
      </c>
    </row>
    <row r="209" spans="1:3" ht="20">
      <c r="A209" s="17">
        <v>44828</v>
      </c>
      <c r="B209" s="18">
        <v>44828</v>
      </c>
      <c r="C209" s="19" t="s">
        <v>29</v>
      </c>
    </row>
    <row r="210" spans="1:3" ht="20">
      <c r="A210" s="17">
        <v>44829</v>
      </c>
      <c r="B210" s="18">
        <v>44829</v>
      </c>
      <c r="C210" s="19" t="s">
        <v>29</v>
      </c>
    </row>
    <row r="211" spans="1:3" ht="20">
      <c r="A211" s="17">
        <v>44835</v>
      </c>
      <c r="B211" s="18">
        <v>44835</v>
      </c>
      <c r="C211" s="19" t="s">
        <v>29</v>
      </c>
    </row>
    <row r="212" spans="1:3" ht="20">
      <c r="A212" s="17">
        <v>44836</v>
      </c>
      <c r="B212" s="18">
        <v>44836</v>
      </c>
      <c r="C212" s="19" t="s">
        <v>29</v>
      </c>
    </row>
    <row r="213" spans="1:3" ht="20">
      <c r="A213" s="17">
        <v>44842</v>
      </c>
      <c r="B213" s="18">
        <v>44842</v>
      </c>
      <c r="C213" s="19" t="s">
        <v>29</v>
      </c>
    </row>
    <row r="214" spans="1:3" ht="20">
      <c r="A214" s="17">
        <v>44843</v>
      </c>
      <c r="B214" s="18">
        <v>44843</v>
      </c>
      <c r="C214" s="19" t="s">
        <v>29</v>
      </c>
    </row>
    <row r="215" spans="1:3" ht="20">
      <c r="A215" s="17">
        <v>44844</v>
      </c>
      <c r="B215" s="18">
        <v>44844</v>
      </c>
      <c r="C215" s="19" t="s">
        <v>42</v>
      </c>
    </row>
    <row r="216" spans="1:3" ht="20">
      <c r="A216" s="17">
        <v>44849</v>
      </c>
      <c r="B216" s="18">
        <v>44849</v>
      </c>
      <c r="C216" s="19" t="s">
        <v>29</v>
      </c>
    </row>
    <row r="217" spans="1:3" ht="20">
      <c r="A217" s="17">
        <v>44850</v>
      </c>
      <c r="B217" s="18">
        <v>44850</v>
      </c>
      <c r="C217" s="19" t="s">
        <v>29</v>
      </c>
    </row>
    <row r="218" spans="1:3" ht="20">
      <c r="A218" s="17">
        <v>44856</v>
      </c>
      <c r="B218" s="18">
        <v>44856</v>
      </c>
      <c r="C218" s="19" t="s">
        <v>29</v>
      </c>
    </row>
    <row r="219" spans="1:3" ht="20">
      <c r="A219" s="17">
        <v>44857</v>
      </c>
      <c r="B219" s="18">
        <v>44857</v>
      </c>
      <c r="C219" s="19" t="s">
        <v>29</v>
      </c>
    </row>
    <row r="220" spans="1:3" ht="20">
      <c r="A220" s="17">
        <v>44863</v>
      </c>
      <c r="B220" s="18">
        <v>44863</v>
      </c>
      <c r="C220" s="19" t="s">
        <v>29</v>
      </c>
    </row>
    <row r="221" spans="1:3" ht="20">
      <c r="A221" s="17">
        <v>44864</v>
      </c>
      <c r="B221" s="18">
        <v>44864</v>
      </c>
      <c r="C221" s="19" t="s">
        <v>29</v>
      </c>
    </row>
    <row r="222" spans="1:3" ht="20">
      <c r="A222" s="17">
        <v>44868</v>
      </c>
      <c r="B222" s="18">
        <v>44868</v>
      </c>
      <c r="C222" s="19" t="s">
        <v>43</v>
      </c>
    </row>
    <row r="223" spans="1:3" ht="20">
      <c r="A223" s="17">
        <v>44870</v>
      </c>
      <c r="B223" s="18">
        <v>44870</v>
      </c>
      <c r="C223" s="19" t="s">
        <v>29</v>
      </c>
    </row>
    <row r="224" spans="1:3" ht="20">
      <c r="A224" s="17">
        <v>44871</v>
      </c>
      <c r="B224" s="18">
        <v>44871</v>
      </c>
      <c r="C224" s="19" t="s">
        <v>29</v>
      </c>
    </row>
    <row r="225" spans="1:3" ht="20">
      <c r="A225" s="17">
        <v>44877</v>
      </c>
      <c r="B225" s="18">
        <v>44877</v>
      </c>
      <c r="C225" s="19" t="s">
        <v>29</v>
      </c>
    </row>
    <row r="226" spans="1:3" ht="20">
      <c r="A226" s="17">
        <v>44878</v>
      </c>
      <c r="B226" s="18">
        <v>44878</v>
      </c>
      <c r="C226" s="19" t="s">
        <v>29</v>
      </c>
    </row>
    <row r="227" spans="1:3" ht="20">
      <c r="A227" s="17">
        <v>44884</v>
      </c>
      <c r="B227" s="18">
        <v>44884</v>
      </c>
      <c r="C227" s="19" t="s">
        <v>29</v>
      </c>
    </row>
    <row r="228" spans="1:3" ht="20">
      <c r="A228" s="17">
        <v>44885</v>
      </c>
      <c r="B228" s="18">
        <v>44885</v>
      </c>
      <c r="C228" s="19" t="s">
        <v>29</v>
      </c>
    </row>
    <row r="229" spans="1:3" ht="20">
      <c r="A229" s="17">
        <v>44888</v>
      </c>
      <c r="B229" s="18">
        <v>44888</v>
      </c>
      <c r="C229" s="19" t="s">
        <v>44</v>
      </c>
    </row>
    <row r="230" spans="1:3" ht="20">
      <c r="A230" s="17">
        <v>44891</v>
      </c>
      <c r="B230" s="18">
        <v>44891</v>
      </c>
      <c r="C230" s="19" t="s">
        <v>29</v>
      </c>
    </row>
    <row r="231" spans="1:3" ht="20">
      <c r="A231" s="17">
        <v>44892</v>
      </c>
      <c r="B231" s="18">
        <v>44892</v>
      </c>
      <c r="C231" s="19" t="s">
        <v>29</v>
      </c>
    </row>
    <row r="232" spans="1:3" ht="20">
      <c r="A232" s="17">
        <v>44898</v>
      </c>
      <c r="B232" s="18">
        <v>44898</v>
      </c>
      <c r="C232" s="19" t="s">
        <v>29</v>
      </c>
    </row>
    <row r="233" spans="1:3" ht="20">
      <c r="A233" s="17">
        <v>44899</v>
      </c>
      <c r="B233" s="18">
        <v>44899</v>
      </c>
      <c r="C233" s="19" t="s">
        <v>29</v>
      </c>
    </row>
    <row r="234" spans="1:3" ht="20">
      <c r="A234" s="17">
        <v>44905</v>
      </c>
      <c r="B234" s="18">
        <v>44905</v>
      </c>
      <c r="C234" s="19" t="s">
        <v>29</v>
      </c>
    </row>
    <row r="235" spans="1:3" ht="20">
      <c r="A235" s="17">
        <v>44906</v>
      </c>
      <c r="B235" s="18">
        <v>44906</v>
      </c>
      <c r="C235" s="19" t="s">
        <v>29</v>
      </c>
    </row>
    <row r="236" spans="1:3" ht="20">
      <c r="A236" s="17">
        <v>44912</v>
      </c>
      <c r="B236" s="18">
        <v>44912</v>
      </c>
      <c r="C236" s="19" t="s">
        <v>29</v>
      </c>
    </row>
    <row r="237" spans="1:3" ht="20">
      <c r="A237" s="17">
        <v>44913</v>
      </c>
      <c r="B237" s="18">
        <v>44913</v>
      </c>
      <c r="C237" s="19" t="s">
        <v>29</v>
      </c>
    </row>
    <row r="238" spans="1:3" ht="20">
      <c r="A238" s="17">
        <v>44919</v>
      </c>
      <c r="B238" s="18">
        <v>44919</v>
      </c>
      <c r="C238" s="19" t="s">
        <v>29</v>
      </c>
    </row>
    <row r="239" spans="1:3" ht="20">
      <c r="A239" s="17">
        <v>44920</v>
      </c>
      <c r="B239" s="18">
        <v>44920</v>
      </c>
      <c r="C239" s="19" t="s">
        <v>29</v>
      </c>
    </row>
    <row r="240" spans="1:3" ht="20">
      <c r="A240" s="17">
        <v>44926</v>
      </c>
      <c r="B240" s="18">
        <v>44926</v>
      </c>
      <c r="C240" s="19" t="s">
        <v>29</v>
      </c>
    </row>
    <row r="241" spans="1:3" ht="20">
      <c r="A241" s="17">
        <v>44927</v>
      </c>
      <c r="B241" s="18">
        <v>44927</v>
      </c>
      <c r="C241" s="19" t="s">
        <v>45</v>
      </c>
    </row>
  </sheetData>
  <autoFilter ref="A1:C241" xr:uid="{5163B997-DA8E-7846-8E57-53200C2F705E}"/>
  <phoneticPr fontId="2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タスク</vt:lpstr>
      <vt:lpstr>スケジュール</vt:lpstr>
      <vt:lpstr>土日祝日確認テーブル</vt:lpstr>
      <vt:lpstr>タスク!Print_Titles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mitsui shouhei</dc:creator>
  <cp:lastModifiedBy>mitsui shouhei</cp:lastModifiedBy>
  <dcterms:created xsi:type="dcterms:W3CDTF">2017-08-18T20:54:39Z</dcterms:created>
  <dcterms:modified xsi:type="dcterms:W3CDTF">2020-12-18T08:22:45Z</dcterms:modified>
</cp:coreProperties>
</file>